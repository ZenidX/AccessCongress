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aviLara\Downloads\"/>
    </mc:Choice>
  </mc:AlternateContent>
  <bookViews>
    <workbookView xWindow="0" yWindow="0" windowWidth="28800" windowHeight="11430"/>
  </bookViews>
  <sheets>
    <sheet name="INSCRIPCIONS_PAGAMENTS" sheetId="1" r:id="rId1"/>
  </sheets>
  <definedNames>
    <definedName name="_xlnm._FilterDatabase" localSheetId="0" hidden="1">INSCRIPCIONS_PAGAMENTS!$A$1:$S$101</definedName>
  </definedNames>
  <calcPr calcId="162913"/>
  <extLst>
    <ext uri="GoogleSheetsCustomDataVersion2">
      <go:sheetsCustomData xmlns:go="http://customooxmlschemas.google.com/" r:id="rId5" roundtripDataChecksum="OnE844yMy8w5kvCbu0+0DJqB5X1iPGgXsKL0HXLzODg="/>
    </ext>
  </extLst>
</workbook>
</file>

<file path=xl/calcChain.xml><?xml version="1.0" encoding="utf-8"?>
<calcChain xmlns="http://schemas.openxmlformats.org/spreadsheetml/2006/main">
  <c r="O103" i="1" l="1"/>
  <c r="T86" i="1"/>
  <c r="T70" i="1"/>
  <c r="T54" i="1"/>
  <c r="T38" i="1"/>
  <c r="T22" i="1"/>
  <c r="T6" i="1"/>
  <c r="T15" i="1"/>
  <c r="T14" i="1"/>
  <c r="T29" i="1"/>
  <c r="T28" i="1"/>
  <c r="T43" i="1"/>
  <c r="T42" i="1"/>
  <c r="T56" i="1"/>
  <c r="T101" i="1"/>
  <c r="T85" i="1"/>
  <c r="T69" i="1"/>
  <c r="T53" i="1"/>
  <c r="T37" i="1"/>
  <c r="T21" i="1"/>
  <c r="T5" i="1"/>
  <c r="T79" i="1"/>
  <c r="T31" i="1"/>
  <c r="T30" i="1"/>
  <c r="T45" i="1"/>
  <c r="T13" i="1"/>
  <c r="T75" i="1"/>
  <c r="T11" i="1"/>
  <c r="T57" i="1"/>
  <c r="T40" i="1"/>
  <c r="T100" i="1"/>
  <c r="T84" i="1"/>
  <c r="T68" i="1"/>
  <c r="T52" i="1"/>
  <c r="T36" i="1"/>
  <c r="T20" i="1"/>
  <c r="T4" i="1"/>
  <c r="T61" i="1"/>
  <c r="T12" i="1"/>
  <c r="T59" i="1"/>
  <c r="T73" i="1"/>
  <c r="T24" i="1"/>
  <c r="T7" i="1"/>
  <c r="T99" i="1"/>
  <c r="T83" i="1"/>
  <c r="T67" i="1"/>
  <c r="T51" i="1"/>
  <c r="T35" i="1"/>
  <c r="T19" i="1"/>
  <c r="T3" i="1"/>
  <c r="T46" i="1"/>
  <c r="T44" i="1"/>
  <c r="T74" i="1"/>
  <c r="T9" i="1"/>
  <c r="T8" i="1"/>
  <c r="T39" i="1"/>
  <c r="T98" i="1"/>
  <c r="T82" i="1"/>
  <c r="T66" i="1"/>
  <c r="T50" i="1"/>
  <c r="T34" i="1"/>
  <c r="T18" i="1"/>
  <c r="T2" i="1"/>
  <c r="T77" i="1"/>
  <c r="T27" i="1"/>
  <c r="T26" i="1"/>
  <c r="T25" i="1"/>
  <c r="T55" i="1"/>
  <c r="T97" i="1"/>
  <c r="T81" i="1"/>
  <c r="T65" i="1"/>
  <c r="T49" i="1"/>
  <c r="T33" i="1"/>
  <c r="T17" i="1"/>
  <c r="T62" i="1"/>
  <c r="T76" i="1"/>
  <c r="T10" i="1"/>
  <c r="T72" i="1"/>
  <c r="T23" i="1"/>
  <c r="T96" i="1"/>
  <c r="T80" i="1"/>
  <c r="T64" i="1"/>
  <c r="T48" i="1"/>
  <c r="T32" i="1"/>
  <c r="T16" i="1"/>
  <c r="T63" i="1"/>
  <c r="T47" i="1"/>
  <c r="T78" i="1"/>
  <c r="T60" i="1"/>
  <c r="T58" i="1"/>
  <c r="T41" i="1"/>
  <c r="T71" i="1"/>
  <c r="T95" i="1"/>
  <c r="T94" i="1"/>
  <c r="T93" i="1"/>
  <c r="T92" i="1"/>
  <c r="T91" i="1"/>
  <c r="T90" i="1"/>
  <c r="T89" i="1"/>
  <c r="T88" i="1"/>
  <c r="T87" i="1"/>
</calcChain>
</file>

<file path=xl/sharedStrings.xml><?xml version="1.0" encoding="utf-8"?>
<sst xmlns="http://schemas.openxmlformats.org/spreadsheetml/2006/main" count="1126" uniqueCount="484">
  <si>
    <t>Data inscripció</t>
  </si>
  <si>
    <t>Número comanda</t>
  </si>
  <si>
    <t>NOM</t>
  </si>
  <si>
    <t>COGNOMS</t>
  </si>
  <si>
    <t>DNI</t>
  </si>
  <si>
    <t>ENTITAT/INSTITUCIÓ</t>
  </si>
  <si>
    <t>TIPUS D'ESCOLA</t>
  </si>
  <si>
    <t>LLOC/RESPONSABILITAT</t>
  </si>
  <si>
    <t>MAIL</t>
  </si>
  <si>
    <t>TELÈFON</t>
  </si>
  <si>
    <t>FORMAT</t>
  </si>
  <si>
    <t>ACCESO</t>
  </si>
  <si>
    <t>MASTER_CLASS</t>
  </si>
  <si>
    <t>CENA</t>
  </si>
  <si>
    <t>IMPORT</t>
  </si>
  <si>
    <t>HA PAGAT?</t>
  </si>
  <si>
    <t>FORMA DE PAGO</t>
  </si>
  <si>
    <t>TENIM COMPROVANT DE PAGO</t>
  </si>
  <si>
    <t>FACTURA (Nº)</t>
  </si>
  <si>
    <t>QR</t>
  </si>
  <si>
    <t>Observacions</t>
  </si>
  <si>
    <t>???</t>
  </si>
  <si>
    <t>Widows Kushner</t>
  </si>
  <si>
    <t>Aixa-Llaút</t>
  </si>
  <si>
    <t>Privada</t>
  </si>
  <si>
    <t>Cap d'Estudis</t>
  </si>
  <si>
    <t>jberrio1@xtec.cat</t>
  </si>
  <si>
    <t xml:space="preserve">Presencial </t>
  </si>
  <si>
    <t>Presencial</t>
  </si>
  <si>
    <t>No</t>
  </si>
  <si>
    <t>Aida</t>
  </si>
  <si>
    <t>Vila</t>
  </si>
  <si>
    <t>05351392M</t>
  </si>
  <si>
    <t>Amor de Déu</t>
  </si>
  <si>
    <t>Altres</t>
  </si>
  <si>
    <t>joan@learnlife.com</t>
  </si>
  <si>
    <t>Ainhoa</t>
  </si>
  <si>
    <t>Vernet Saureu</t>
  </si>
  <si>
    <t>119527449 (RUN, no DNI)</t>
  </si>
  <si>
    <t>Asesor Independiente</t>
  </si>
  <si>
    <t>Pública</t>
  </si>
  <si>
    <t>Assessor en Lideratge Educatiu</t>
  </si>
  <si>
    <t>aarbo@xtec.cat</t>
  </si>
  <si>
    <t>Online</t>
  </si>
  <si>
    <t>Alena</t>
  </si>
  <si>
    <t>Veciana Bové</t>
  </si>
  <si>
    <t>18234810L</t>
  </si>
  <si>
    <t>ASPACE CATALUNYA</t>
  </si>
  <si>
    <t>Privat - Concertat</t>
  </si>
  <si>
    <t>Director/a</t>
  </si>
  <si>
    <t>direccio.general@amordedeusantadria.com</t>
  </si>
  <si>
    <t>Alex</t>
  </si>
  <si>
    <t>VALDÉS LLONCH</t>
  </si>
  <si>
    <t>18950618K</t>
  </si>
  <si>
    <t>Bernat Metge</t>
  </si>
  <si>
    <t>info@espaipont.com</t>
  </si>
  <si>
    <t>Alfons</t>
  </si>
  <si>
    <t>Turell Coll</t>
  </si>
  <si>
    <t>33906173X</t>
  </si>
  <si>
    <t>CC Aixa-Llaüt</t>
  </si>
  <si>
    <t>jmprats@fapel.cat</t>
  </si>
  <si>
    <t xml:space="preserve">Ana </t>
  </si>
  <si>
    <t>Tort Fabregat</t>
  </si>
  <si>
    <t>35597164H</t>
  </si>
  <si>
    <t>Centro Cultural Pineda, S.A.</t>
  </si>
  <si>
    <t>e3002259@xtec.cat</t>
  </si>
  <si>
    <t>TORREJÓN ALMIRALL</t>
  </si>
  <si>
    <t>37387960B</t>
  </si>
  <si>
    <t>a8001911@xtec.cat</t>
  </si>
  <si>
    <t>ens fa saber que es car per l'escola pública, si hi ha altres opcions</t>
  </si>
  <si>
    <t>TORICES GRIONS</t>
  </si>
  <si>
    <t>38125767R</t>
  </si>
  <si>
    <t>Professor/a Universitari</t>
  </si>
  <si>
    <t>jbraso@xtec.cat</t>
  </si>
  <si>
    <t>Torices Girons</t>
  </si>
  <si>
    <t>38150048V</t>
  </si>
  <si>
    <t>Concertada</t>
  </si>
  <si>
    <t>Sots-Direcció</t>
  </si>
  <si>
    <t>rfarrus@la-vall.org</t>
  </si>
  <si>
    <t>Andreu</t>
  </si>
  <si>
    <t>Sanjuan</t>
  </si>
  <si>
    <t>38427693Y</t>
  </si>
  <si>
    <t>immafont@institucio.org</t>
  </si>
  <si>
    <t>Anna</t>
  </si>
  <si>
    <t>Sanchez Moreno</t>
  </si>
  <si>
    <t>38441464T</t>
  </si>
  <si>
    <t>annacasadevall@sgs.cat</t>
  </si>
  <si>
    <t>SI</t>
  </si>
  <si>
    <t>TRANSFERENCIA</t>
  </si>
  <si>
    <t>GISIE09-2025</t>
  </si>
  <si>
    <t>Sánchez Araya</t>
  </si>
  <si>
    <t>38443519P</t>
  </si>
  <si>
    <t>orodriguez@instituciotarragona.org</t>
  </si>
  <si>
    <t>Sanabre Romero</t>
  </si>
  <si>
    <t>38560839M</t>
  </si>
  <si>
    <t>jjordana@institucioigualada.org</t>
  </si>
  <si>
    <t>Presencial IFE 50%</t>
  </si>
  <si>
    <t>TARJETA</t>
  </si>
  <si>
    <t>Antoni</t>
  </si>
  <si>
    <t>Sáez Puig</t>
  </si>
  <si>
    <t>38561771V</t>
  </si>
  <si>
    <t>Colegio Aixa-Llaüt</t>
  </si>
  <si>
    <t>delpozomontserrat@gmail.com</t>
  </si>
  <si>
    <t>Antònia</t>
  </si>
  <si>
    <t>Ruiz Segarra</t>
  </si>
  <si>
    <t>38844367N</t>
  </si>
  <si>
    <t>Colegio Santa Cruz de Unco</t>
  </si>
  <si>
    <t>graciela.diestra@fundacionpineda.org</t>
  </si>
  <si>
    <t>Arantxa</t>
  </si>
  <si>
    <t>Ruiz Ribas</t>
  </si>
  <si>
    <t>39147986P</t>
  </si>
  <si>
    <t>Col·legi Aixa-Llaüt</t>
  </si>
  <si>
    <t>aespasa@uoc.edu</t>
  </si>
  <si>
    <t>Ariadna</t>
  </si>
  <si>
    <t>Rubirola Casteyó</t>
  </si>
  <si>
    <t>39157836Z</t>
  </si>
  <si>
    <t>Conselleria Educació</t>
  </si>
  <si>
    <t>bberinif@uoc.edu</t>
  </si>
  <si>
    <t>Si</t>
  </si>
  <si>
    <t>GISIE07-2025</t>
  </si>
  <si>
    <t>Barbara</t>
  </si>
  <si>
    <t>Rovira Garbayo</t>
  </si>
  <si>
    <t>39157980C</t>
  </si>
  <si>
    <t>eulaliajim@uoc.edu</t>
  </si>
  <si>
    <t>GISIE08-2025</t>
  </si>
  <si>
    <t>Bruno</t>
  </si>
  <si>
    <t>Romero  Garcia</t>
  </si>
  <si>
    <t>39173295V</t>
  </si>
  <si>
    <t>Otros</t>
  </si>
  <si>
    <t>miquel.saez@contraste.info</t>
  </si>
  <si>
    <t>Carles</t>
  </si>
  <si>
    <t>Roigé</t>
  </si>
  <si>
    <t>39173730S</t>
  </si>
  <si>
    <t>CRPFP</t>
  </si>
  <si>
    <t>cesarsm@elcasal.net</t>
  </si>
  <si>
    <t xml:space="preserve">Presencial + coctel </t>
  </si>
  <si>
    <t>Carlos Mª</t>
  </si>
  <si>
    <t>Rodriguez Pérez</t>
  </si>
  <si>
    <t>39182817V</t>
  </si>
  <si>
    <t>departament Ed /UB</t>
  </si>
  <si>
    <t>jordirodriperez@gmail.com</t>
  </si>
  <si>
    <t>Cesar</t>
  </si>
  <si>
    <t>Rodríguez González</t>
  </si>
  <si>
    <t>39182818V</t>
  </si>
  <si>
    <t>Departamnt Educació</t>
  </si>
  <si>
    <t>Investigador Liderazgo Educativo</t>
  </si>
  <si>
    <t>sfernu@gmail.com</t>
  </si>
  <si>
    <t>Cristina</t>
  </si>
  <si>
    <t>Rodriguez González</t>
  </si>
  <si>
    <t>39378007Y</t>
  </si>
  <si>
    <t>Dept. Educació</t>
  </si>
  <si>
    <t>Asesor en Liderazgo Educativo</t>
  </si>
  <si>
    <t>estevelopezgaz@gmail.com</t>
  </si>
  <si>
    <t>DANIEL</t>
  </si>
  <si>
    <t>Ramis Vellibre</t>
  </si>
  <si>
    <t>39691166C</t>
  </si>
  <si>
    <t>eduki</t>
  </si>
  <si>
    <t>aidar@fpdiverse.org</t>
  </si>
  <si>
    <t xml:space="preserve">Diego </t>
  </si>
  <si>
    <t>Puigdellívol Sàez</t>
  </si>
  <si>
    <t>El Casal</t>
  </si>
  <si>
    <t>mvaldes@mireiavaldes.cat</t>
  </si>
  <si>
    <t>Elisa</t>
  </si>
  <si>
    <t>Pueyo</t>
  </si>
  <si>
    <t>39710051E</t>
  </si>
  <si>
    <t>Escola Els Llorers</t>
  </si>
  <si>
    <t>lucia.calvo@arenalesred.com</t>
  </si>
  <si>
    <t>Elisenda</t>
  </si>
  <si>
    <t>PRATS GIL</t>
  </si>
  <si>
    <t>39710487K</t>
  </si>
  <si>
    <t xml:space="preserve">Escola FUNDACIÓ INNOVAEDU? </t>
  </si>
  <si>
    <t>npueyo@escolesgarbi.cat</t>
  </si>
  <si>
    <t>Esteve</t>
  </si>
  <si>
    <t>Prats</t>
  </si>
  <si>
    <t>39717832Y</t>
  </si>
  <si>
    <t>Escola Marià Fortuny</t>
  </si>
  <si>
    <t>jlforum62@gmail.com</t>
  </si>
  <si>
    <t>Esther</t>
  </si>
  <si>
    <t>39923710B</t>
  </si>
  <si>
    <t>Espai Pont</t>
  </si>
  <si>
    <t>Administració Sistema Educatiu</t>
  </si>
  <si>
    <t>lali.poch@gmail.com</t>
  </si>
  <si>
    <t>Eulalia</t>
  </si>
  <si>
    <t>Pich Godier</t>
  </si>
  <si>
    <t>40333362X</t>
  </si>
  <si>
    <t>FAAM (Fundació Aprender a Mirar)</t>
  </si>
  <si>
    <t>ariadna.galtes@sjd.es</t>
  </si>
  <si>
    <t>Frederic</t>
  </si>
  <si>
    <t>Pérez Espinosa</t>
  </si>
  <si>
    <t>40336756T</t>
  </si>
  <si>
    <t>FAPEL</t>
  </si>
  <si>
    <t>aazanuy@santanafraga.com</t>
  </si>
  <si>
    <t>Graciela</t>
  </si>
  <si>
    <t>Perelló Beau</t>
  </si>
  <si>
    <t>40342407Q</t>
  </si>
  <si>
    <t>FEDEIP</t>
  </si>
  <si>
    <t>smelo@xtec.cat</t>
  </si>
  <si>
    <t>Imma</t>
  </si>
  <si>
    <t>Monés Llivina</t>
  </si>
  <si>
    <t>40885735S</t>
  </si>
  <si>
    <t>FUNDACIO CHAMPAGNAT</t>
  </si>
  <si>
    <t>a8037991@xtec.cat</t>
  </si>
  <si>
    <t>Miret Romero</t>
  </si>
  <si>
    <t>40899469H</t>
  </si>
  <si>
    <t>FUNDACIÓ CHAMPAGNAT</t>
  </si>
  <si>
    <t>fchampagnat.dir@maristes.cat</t>
  </si>
  <si>
    <t>INES</t>
  </si>
  <si>
    <t>Melo Herraiz</t>
  </si>
  <si>
    <t>41524365G</t>
  </si>
  <si>
    <t>Fundació Champagnat.</t>
  </si>
  <si>
    <t>INMACULADA</t>
  </si>
  <si>
    <t>Martorell Estrenjer</t>
  </si>
  <si>
    <t>41537953E</t>
  </si>
  <si>
    <t>Fundació DIverse</t>
  </si>
  <si>
    <t>rargiles@airina.org</t>
  </si>
  <si>
    <t>Isabel</t>
  </si>
  <si>
    <t>Martorell</t>
  </si>
  <si>
    <t>42999699A</t>
  </si>
  <si>
    <t>Fundació Pineda</t>
  </si>
  <si>
    <t>Sub-Dirección</t>
  </si>
  <si>
    <t>diegogonzalez@scu.cl</t>
  </si>
  <si>
    <t>Joan Urgell</t>
  </si>
  <si>
    <t>Malmierca rubio</t>
  </si>
  <si>
    <t>43108261M</t>
  </si>
  <si>
    <t>mmartorell1@la-vall.org</t>
  </si>
  <si>
    <t>jordi</t>
  </si>
  <si>
    <t>Lòpez Sol</t>
  </si>
  <si>
    <t>43139081M</t>
  </si>
  <si>
    <t>Fundación Pineda</t>
  </si>
  <si>
    <t>valldemia.dirpedg@maristes.cat</t>
  </si>
  <si>
    <t>Jordi</t>
  </si>
  <si>
    <t>López Potente</t>
  </si>
  <si>
    <t>43162364N</t>
  </si>
  <si>
    <t>Garbi</t>
  </si>
  <si>
    <t>girona.dir@maristes.cat</t>
  </si>
  <si>
    <t>Jose Luis</t>
  </si>
  <si>
    <t>López  Gázquez</t>
  </si>
  <si>
    <t>43171939L</t>
  </si>
  <si>
    <t>INS Antoni Cumella</t>
  </si>
  <si>
    <t>annaravell.sotsdir@maristes.cat</t>
  </si>
  <si>
    <t>José Manuel</t>
  </si>
  <si>
    <t>Llobera Serentill</t>
  </si>
  <si>
    <t>43705579J</t>
  </si>
  <si>
    <t>Institució</t>
  </si>
  <si>
    <t>fchampagnat.sotsdir@maristes.cat</t>
  </si>
  <si>
    <t>Josep</t>
  </si>
  <si>
    <t>Lindoso Olarte</t>
  </si>
  <si>
    <t>43724561C</t>
  </si>
  <si>
    <t>Institució Airina</t>
  </si>
  <si>
    <t>mtorices@maristes.com</t>
  </si>
  <si>
    <t>Jordana Junoy</t>
  </si>
  <si>
    <t>45461316E</t>
  </si>
  <si>
    <t>INSTITUCIO FAMILIAR</t>
  </si>
  <si>
    <t>Investigador Lideratge Educatiu</t>
  </si>
  <si>
    <t>mariacasanova@maristes.com</t>
  </si>
  <si>
    <t>Josep Manuel</t>
  </si>
  <si>
    <t>Jimenez de Miguel</t>
  </si>
  <si>
    <t>45496705Z</t>
  </si>
  <si>
    <t>Institució Familiar</t>
  </si>
  <si>
    <t>mmiret@la-vall.org</t>
  </si>
  <si>
    <t>Jaureguizar Ducable</t>
  </si>
  <si>
    <t>46034710A</t>
  </si>
  <si>
    <t>jmones@la-vall.org</t>
  </si>
  <si>
    <t>Juan</t>
  </si>
  <si>
    <t>Isern Ramis</t>
  </si>
  <si>
    <t>46128578P</t>
  </si>
  <si>
    <t>Institució Igualada</t>
  </si>
  <si>
    <t>ncagigos@la-vall.org</t>
  </si>
  <si>
    <t>Juan Miguel</t>
  </si>
  <si>
    <t>Guillem Molins</t>
  </si>
  <si>
    <t>46135119V</t>
  </si>
  <si>
    <t>mduran@la-vall.org</t>
  </si>
  <si>
    <t>Judith</t>
  </si>
  <si>
    <t>Guaus López</t>
  </si>
  <si>
    <t>46138823H</t>
  </si>
  <si>
    <t>Institucio La Vall</t>
  </si>
  <si>
    <t>Cap Estudis</t>
  </si>
  <si>
    <t>mar.sanchez@iesacumella.cat</t>
  </si>
  <si>
    <t>Laia</t>
  </si>
  <si>
    <t>González Zúñiga</t>
  </si>
  <si>
    <t>46224074P</t>
  </si>
  <si>
    <t>iNSTITUCIÓ LA VALL</t>
  </si>
  <si>
    <t>m.ruiz@iesacumella.cat</t>
  </si>
  <si>
    <t>González Fernández</t>
  </si>
  <si>
    <t>46359045S</t>
  </si>
  <si>
    <t>Institució La Vall</t>
  </si>
  <si>
    <t>badalona.dir@maristes.cat</t>
  </si>
  <si>
    <t>Lola</t>
  </si>
  <si>
    <t>Gómez Jorge</t>
  </si>
  <si>
    <t>46411995L</t>
  </si>
  <si>
    <t>Institució Tarragona</t>
  </si>
  <si>
    <t>inescarrascopascual@gmail.com</t>
  </si>
  <si>
    <t>Lorena</t>
  </si>
  <si>
    <t>Gil Núñez</t>
  </si>
  <si>
    <t>46438263K</t>
  </si>
  <si>
    <t>antoniaisern1972@gmail.com</t>
  </si>
  <si>
    <t>BIZUM</t>
  </si>
  <si>
    <t>Lucia</t>
  </si>
  <si>
    <t>García Urpí</t>
  </si>
  <si>
    <t>46452775C</t>
  </si>
  <si>
    <t>toniescalas90@gmail.com</t>
  </si>
  <si>
    <t>Luis</t>
  </si>
  <si>
    <t>García García</t>
  </si>
  <si>
    <t>46465433M</t>
  </si>
  <si>
    <t>montsem@fundacionpineda.org</t>
  </si>
  <si>
    <t>M. Carmen</t>
  </si>
  <si>
    <t>Garay Abad</t>
  </si>
  <si>
    <t>46503312A</t>
  </si>
  <si>
    <t>analopezsol@fundaciopineda.org</t>
  </si>
  <si>
    <t>Mª Victoria</t>
  </si>
  <si>
    <t>Galvan Ferrandez</t>
  </si>
  <si>
    <t>46557768H</t>
  </si>
  <si>
    <t>c.bataller@pineda.es</t>
  </si>
  <si>
    <t>GISIE10-2025</t>
  </si>
  <si>
    <t>Paguen totes de cop mitjançant Anna Martínez secretaria</t>
  </si>
  <si>
    <t>Manuel</t>
  </si>
  <si>
    <t>Galtés</t>
  </si>
  <si>
    <t>46582462X</t>
  </si>
  <si>
    <t>Institut Antoni Cume</t>
  </si>
  <si>
    <t>e.comes@pineda.es</t>
  </si>
  <si>
    <t>Mar</t>
  </si>
  <si>
    <t>Font i Pijuan</t>
  </si>
  <si>
    <t>46648811G</t>
  </si>
  <si>
    <t>Institut Antoni Cumella</t>
  </si>
  <si>
    <t>m.garciag@pineda.es</t>
  </si>
  <si>
    <t>Marc</t>
  </si>
  <si>
    <t>Fonoll</t>
  </si>
  <si>
    <t>46686114R</t>
  </si>
  <si>
    <t>Institut Joan Oró</t>
  </si>
  <si>
    <t>m.jaureguizar@pineda.es</t>
  </si>
  <si>
    <t>Maria</t>
  </si>
  <si>
    <t>Ferrer Coll</t>
  </si>
  <si>
    <t>46720558Z</t>
  </si>
  <si>
    <t>m.lindoso@pineda.es</t>
  </si>
  <si>
    <t>MARIA</t>
  </si>
  <si>
    <t>Fernández Núñez</t>
  </si>
  <si>
    <t>46777056R</t>
  </si>
  <si>
    <t>Institut Joan Oró Ll</t>
  </si>
  <si>
    <t>m.ruiz@pineda.es</t>
  </si>
  <si>
    <t>María</t>
  </si>
  <si>
    <t>Fer hcfff</t>
  </si>
  <si>
    <t>46996222T</t>
  </si>
  <si>
    <t>Jesuïtes Clot</t>
  </si>
  <si>
    <t>m.sanabre@pineda.es</t>
  </si>
  <si>
    <t>Maria Gloria</t>
  </si>
  <si>
    <t>Farrus Petit</t>
  </si>
  <si>
    <t>47153553B</t>
  </si>
  <si>
    <t>Joan Ardevol</t>
  </si>
  <si>
    <t xml:space="preserve">r.rovira@pineda.es	</t>
  </si>
  <si>
    <t>????</t>
  </si>
  <si>
    <t>María Pilar</t>
  </si>
  <si>
    <t>Farran Prat</t>
  </si>
  <si>
    <t>47181164E</t>
  </si>
  <si>
    <t>Joviat</t>
  </si>
  <si>
    <t>iromero5@xtec.cat</t>
  </si>
  <si>
    <t>pagat per oriol llobera</t>
  </si>
  <si>
    <t>Marta</t>
  </si>
  <si>
    <t>Espasa</t>
  </si>
  <si>
    <t>47320904Z</t>
  </si>
  <si>
    <t>La farga infantil</t>
  </si>
  <si>
    <t>alena@learnlife.com</t>
  </si>
  <si>
    <t>GISIE11-2025</t>
  </si>
  <si>
    <t>Escalas Gelabert</t>
  </si>
  <si>
    <t>47442984X</t>
  </si>
  <si>
    <t>jllober3@xtec.cat</t>
  </si>
  <si>
    <t>Duran Farre</t>
  </si>
  <si>
    <t>47644161Y</t>
  </si>
  <si>
    <t>Melania</t>
  </si>
  <si>
    <t>Diestra Espino</t>
  </si>
  <si>
    <t>47653446E</t>
  </si>
  <si>
    <t>marc.guillem@uab.cat</t>
  </si>
  <si>
    <t>Miquel</t>
  </si>
  <si>
    <t>Del Pozo</t>
  </si>
  <si>
    <t>47680305V</t>
  </si>
  <si>
    <t>Administración de Sistema Educativo</t>
  </si>
  <si>
    <t>cvernet@xtec.cat</t>
  </si>
  <si>
    <t>MIREIA</t>
  </si>
  <si>
    <t>Comes Garcia</t>
  </si>
  <si>
    <t>47692676Z</t>
  </si>
  <si>
    <t>La Purísima</t>
  </si>
  <si>
    <t>pgomez13@xtec.cat</t>
  </si>
  <si>
    <t>Mireia</t>
  </si>
  <si>
    <t xml:space="preserve">Castan Visa </t>
  </si>
  <si>
    <t>47709882Q</t>
  </si>
  <si>
    <t>La Vall</t>
  </si>
  <si>
    <t>jmlopez@institucio.org</t>
  </si>
  <si>
    <t>Miriam</t>
  </si>
  <si>
    <t>47721054X</t>
  </si>
  <si>
    <t>scamps@institucio.org</t>
  </si>
  <si>
    <t>Montserrat</t>
  </si>
  <si>
    <t>47802299L</t>
  </si>
  <si>
    <t>La Vall i UIC Barcelona</t>
  </si>
  <si>
    <t>jmprats@institucio.org</t>
  </si>
  <si>
    <t>47856108P</t>
  </si>
  <si>
    <t>Learnlife</t>
  </si>
  <si>
    <t>cbeltran@instituciomallorca.org</t>
  </si>
  <si>
    <t>MONTSERRAT</t>
  </si>
  <si>
    <t>CASANOVA MORENO</t>
  </si>
  <si>
    <t>47904995C</t>
  </si>
  <si>
    <t>avila@institucioigualada.org</t>
  </si>
  <si>
    <t>import compartit amb Juan Jordana</t>
  </si>
  <si>
    <t>partir 50 50 el pagament del Juan Jordano, ja que els dos tenen descompte</t>
  </si>
  <si>
    <t>Casadevall Sala</t>
  </si>
  <si>
    <t>47952928K</t>
  </si>
  <si>
    <t>Marcel·lí Moragas</t>
  </si>
  <si>
    <t>mperellobeau@gmail.com</t>
  </si>
  <si>
    <t>CARRASCO PASCUAL</t>
  </si>
  <si>
    <t>47959344C</t>
  </si>
  <si>
    <t>Maristes Anna Ravell</t>
  </si>
  <si>
    <t>hdheh@gmail.com</t>
  </si>
  <si>
    <t>Natalia</t>
  </si>
  <si>
    <t>Carballido</t>
  </si>
  <si>
    <t>48005846Q</t>
  </si>
  <si>
    <t>Maristes Champagnat</t>
  </si>
  <si>
    <t>NO</t>
  </si>
  <si>
    <t>Ha comprado el producto, pero no se ha inscrito, por eso no hay datos. También ha hecho el pedido para 4 personas.</t>
  </si>
  <si>
    <t>Núria</t>
  </si>
  <si>
    <t>CAMPS BATALLER</t>
  </si>
  <si>
    <t>48037866C</t>
  </si>
  <si>
    <t>Maristes Fundació Champagnat</t>
  </si>
  <si>
    <t>Olga</t>
  </si>
  <si>
    <t>Camí Sanahuja</t>
  </si>
  <si>
    <t>48368086Y</t>
  </si>
  <si>
    <t>Maristes Girona</t>
  </si>
  <si>
    <t>Calvo Mnuel</t>
  </si>
  <si>
    <t>52151926R</t>
  </si>
  <si>
    <t>Maristes Valldemia (FUNDACIO CHAMPAGNAT)</t>
  </si>
  <si>
    <t>Oriol</t>
  </si>
  <si>
    <t>Cagigós Villacampa</t>
  </si>
  <si>
    <t>52211912A</t>
  </si>
  <si>
    <t>MIREIA VALDÉS GROUP</t>
  </si>
  <si>
    <t>amalmierca@la-farga.org</t>
  </si>
  <si>
    <t>Paz</t>
  </si>
  <si>
    <t>Cabanellas</t>
  </si>
  <si>
    <t>Nazaret Global Educa</t>
  </si>
  <si>
    <t>lola.reevesgaray@eduki.com</t>
  </si>
  <si>
    <t>Pep</t>
  </si>
  <si>
    <t>Buetas Ferrer</t>
  </si>
  <si>
    <t>52594927E</t>
  </si>
  <si>
    <t>Red Arenales</t>
  </si>
  <si>
    <t>iramis@instituciomallorca.org</t>
  </si>
  <si>
    <t>Pi</t>
  </si>
  <si>
    <t>brasó</t>
  </si>
  <si>
    <t>53123948C</t>
  </si>
  <si>
    <t>SAINT GEORGE'S SCHOOL</t>
  </si>
  <si>
    <t>vferrer@instituciomallorca.org</t>
  </si>
  <si>
    <t xml:space="preserve">Raquel </t>
  </si>
  <si>
    <t>Berrio Conesa</t>
  </si>
  <si>
    <t>73199165D</t>
  </si>
  <si>
    <t>Santa Ana</t>
  </si>
  <si>
    <t>lturell@instituciomallorca.org</t>
  </si>
  <si>
    <t>Raúl</t>
  </si>
  <si>
    <t>Berini</t>
  </si>
  <si>
    <t>77677106B</t>
  </si>
  <si>
    <t>SJD (Centros Educativos de Henka Sant Joan de Déu.)</t>
  </si>
  <si>
    <t>jcami@instituciotarragona.org</t>
  </si>
  <si>
    <t>influ? super profe</t>
  </si>
  <si>
    <t>Rosa</t>
  </si>
  <si>
    <t>Beltrán Alabern</t>
  </si>
  <si>
    <t>78209204G</t>
  </si>
  <si>
    <t>UAB</t>
  </si>
  <si>
    <t>cabanellasbruno@gmail.com</t>
  </si>
  <si>
    <t>Roser</t>
  </si>
  <si>
    <t>Bataller Umbert</t>
  </si>
  <si>
    <t>78746819V</t>
  </si>
  <si>
    <t>Universidad de Sevilla</t>
  </si>
  <si>
    <t>ipratsg@instituciotarragona.org</t>
  </si>
  <si>
    <t>Sandra</t>
  </si>
  <si>
    <t>Azanuy Agustín</t>
  </si>
  <si>
    <t>UOC</t>
  </si>
  <si>
    <t>agalvan@instituciotarragona.org</t>
  </si>
  <si>
    <t>SANDRA</t>
  </si>
  <si>
    <t>Argilés Puig</t>
  </si>
  <si>
    <t>Cap d&amp;#039;Estudis</t>
  </si>
  <si>
    <t>gveciana@instituciotarragona.org</t>
  </si>
  <si>
    <t>Sira</t>
  </si>
  <si>
    <t>Arbó</t>
  </si>
  <si>
    <t>UOC Universitat</t>
  </si>
  <si>
    <t>lpuigdellivol@joviat.cat</t>
  </si>
  <si>
    <t>FER-LI</t>
  </si>
  <si>
    <t>Agrairem factura a nom de FUNDACIO JOVIAT RUBIÓ I ORS 5 08241 MANRESA G60374022</t>
  </si>
  <si>
    <t>Teresa</t>
  </si>
  <si>
    <t>Vehsh</t>
  </si>
  <si>
    <t>dtorrejon@aspace.cat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</si>
</sst>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\ h:mm:ss"/>
    <numFmt numFmtId="165" formatCode="#,##0.00\ [$€-1]"/>
  </numFmts>
  <fonts count="7">
    <font>
      <sz val="10"/>
      <color rgb="FF000000"/>
      <name val="Arial"/>
      <scheme val="minor"/>
    </font>
    <font>
      <b/>
      <sz val="10"/>
      <color theme="1"/>
      <name val="Arial"/>
    </font>
    <font>
      <b/>
      <u/>
      <sz val="10"/>
      <color rgb="FF0000FF"/>
      <name val="Arial"/>
    </font>
    <font>
      <sz val="10"/>
      <color theme="1"/>
      <name val="Arial"/>
    </font>
    <font>
      <sz val="10"/>
      <color rgb="FF222222"/>
      <name val="Arial"/>
    </font>
    <font>
      <sz val="11"/>
      <color rgb="FF6D818C"/>
      <name val="Helvetica Neue"/>
    </font>
    <font>
      <b/>
      <sz val="16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165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left"/>
    </xf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4" fillId="0" borderId="0" xfId="0" applyFont="1"/>
    <xf numFmtId="165" fontId="3" fillId="6" borderId="1" xfId="0" applyNumberFormat="1" applyFont="1" applyFill="1" applyBorder="1" applyAlignment="1">
      <alignment horizontal="left"/>
    </xf>
    <xf numFmtId="0" fontId="3" fillId="6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6" borderId="1" xfId="0" applyFont="1" applyFill="1" applyBorder="1"/>
    <xf numFmtId="0" fontId="3" fillId="7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/>
    <xf numFmtId="165" fontId="3" fillId="3" borderId="1" xfId="0" applyNumberFormat="1" applyFont="1" applyFill="1" applyBorder="1" applyAlignment="1">
      <alignment horizontal="left"/>
    </xf>
    <xf numFmtId="164" fontId="3" fillId="7" borderId="1" xfId="0" applyNumberFormat="1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165" fontId="3" fillId="7" borderId="1" xfId="0" applyNumberFormat="1" applyFont="1" applyFill="1" applyBorder="1" applyAlignment="1">
      <alignment horizontal="left"/>
    </xf>
    <xf numFmtId="0" fontId="5" fillId="6" borderId="1" xfId="0" applyFont="1" applyFill="1" applyBorder="1" applyAlignment="1">
      <alignment horizontal="left"/>
    </xf>
    <xf numFmtId="165" fontId="6" fillId="8" borderId="0" xfId="0" applyNumberFormat="1" applyFont="1" applyFill="1" applyAlignment="1">
      <alignment horizontal="left"/>
    </xf>
    <xf numFmtId="165" fontId="6" fillId="8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j9yyGyjw6joXB3W9LlPUnoRRnp_I1HNVG9fwZlFD11U/edit?usp=sharing" TargetMode="External"/><Relationship Id="rId1" Type="http://schemas.openxmlformats.org/officeDocument/2006/relationships/hyperlink" Target="https://drive.google.com/drive/folders/140tdmmWgA23AJRNdYuCQ8mATdRcMAjH7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M100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19" customWidth="1"/>
    <col min="2" max="2" width="11.5703125" customWidth="1"/>
    <col min="3" max="3" width="12.5703125" customWidth="1"/>
    <col min="4" max="4" width="18.5703125" customWidth="1"/>
    <col min="5" max="5" width="12.5703125" customWidth="1"/>
    <col min="6" max="6" width="26.7109375" customWidth="1"/>
    <col min="7" max="7" width="22" customWidth="1"/>
    <col min="9" max="9" width="16.5703125" customWidth="1"/>
    <col min="10" max="10" width="19.42578125" customWidth="1"/>
    <col min="11" max="11" width="22" customWidth="1"/>
    <col min="12" max="12" width="24.7109375" customWidth="1"/>
    <col min="13" max="15" width="19.5703125" customWidth="1"/>
    <col min="16" max="16" width="13.140625" customWidth="1"/>
    <col min="17" max="17" width="21.5703125" customWidth="1"/>
    <col min="18" max="18" width="31.5703125" customWidth="1"/>
    <col min="19" max="19" width="27.7109375" customWidth="1"/>
    <col min="20" max="21" width="43.42578125" customWidth="1"/>
  </cols>
  <sheetData>
    <row r="1" spans="1:39" ht="37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3" t="s">
        <v>18</v>
      </c>
      <c r="T1" s="4" t="s">
        <v>19</v>
      </c>
      <c r="U1" s="5" t="s">
        <v>20</v>
      </c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spans="1:39" ht="81" customHeight="1">
      <c r="A2" s="6">
        <v>45936.66097222222</v>
      </c>
      <c r="B2" s="6"/>
      <c r="C2" s="7" t="s">
        <v>21</v>
      </c>
      <c r="D2" s="8" t="s">
        <v>22</v>
      </c>
      <c r="E2" s="7" t="s">
        <v>21</v>
      </c>
      <c r="F2" s="8" t="s">
        <v>23</v>
      </c>
      <c r="G2" s="9" t="s">
        <v>24</v>
      </c>
      <c r="H2" s="8" t="s">
        <v>25</v>
      </c>
      <c r="I2" s="8" t="s">
        <v>26</v>
      </c>
      <c r="J2" s="10"/>
      <c r="K2" s="8" t="s">
        <v>27</v>
      </c>
      <c r="L2" s="11" t="s">
        <v>28</v>
      </c>
      <c r="M2" s="12" t="s">
        <v>29</v>
      </c>
      <c r="N2" s="12" t="s">
        <v>29</v>
      </c>
      <c r="O2" s="13"/>
      <c r="P2" s="8"/>
      <c r="Q2" s="8"/>
      <c r="R2" s="14" t="b">
        <v>0</v>
      </c>
      <c r="S2" s="15"/>
      <c r="T2" s="15" t="e">
        <f t="shared" ref="T2:T101" ca="1" si="0">IMAGE("https://api.qrserver.com/v1/create-qr-code/?size=200x200&amp;data=" &amp; concat(E2,I2)
)</f>
        <v>#NAME?</v>
      </c>
      <c r="U2" s="15"/>
    </row>
    <row r="3" spans="1:39" ht="81" customHeight="1">
      <c r="A3" s="6">
        <v>45936.670277777775</v>
      </c>
      <c r="B3" s="6"/>
      <c r="C3" s="8" t="s">
        <v>30</v>
      </c>
      <c r="D3" s="8" t="s">
        <v>31</v>
      </c>
      <c r="E3" s="8" t="s">
        <v>32</v>
      </c>
      <c r="F3" s="8" t="s">
        <v>33</v>
      </c>
      <c r="G3" s="9" t="s">
        <v>24</v>
      </c>
      <c r="H3" s="8" t="s">
        <v>34</v>
      </c>
      <c r="I3" s="8" t="s">
        <v>35</v>
      </c>
      <c r="J3" s="10"/>
      <c r="K3" s="8" t="s">
        <v>27</v>
      </c>
      <c r="L3" s="11" t="s">
        <v>28</v>
      </c>
      <c r="M3" s="12" t="s">
        <v>29</v>
      </c>
      <c r="N3" s="12" t="s">
        <v>29</v>
      </c>
      <c r="O3" s="13"/>
      <c r="P3" s="8"/>
      <c r="Q3" s="8"/>
      <c r="R3" s="16" t="b">
        <v>0</v>
      </c>
      <c r="S3" s="16"/>
      <c r="T3" s="15" t="e">
        <f t="shared" ca="1" si="0"/>
        <v>#NAME?</v>
      </c>
      <c r="U3" s="16"/>
    </row>
    <row r="4" spans="1:39" ht="81" customHeight="1">
      <c r="A4" s="6">
        <v>45936.7034375</v>
      </c>
      <c r="B4" s="6"/>
      <c r="C4" s="8" t="s">
        <v>36</v>
      </c>
      <c r="D4" s="8" t="s">
        <v>37</v>
      </c>
      <c r="E4" s="8" t="s">
        <v>38</v>
      </c>
      <c r="F4" s="8" t="s">
        <v>39</v>
      </c>
      <c r="G4" s="9" t="s">
        <v>40</v>
      </c>
      <c r="H4" s="8" t="s">
        <v>41</v>
      </c>
      <c r="I4" s="8" t="s">
        <v>42</v>
      </c>
      <c r="J4" s="10"/>
      <c r="K4" s="8" t="s">
        <v>43</v>
      </c>
      <c r="L4" s="11" t="s">
        <v>43</v>
      </c>
      <c r="M4" s="12" t="s">
        <v>29</v>
      </c>
      <c r="N4" s="12" t="s">
        <v>29</v>
      </c>
      <c r="O4" s="13"/>
      <c r="P4" s="8"/>
      <c r="Q4" s="8"/>
      <c r="R4" s="14" t="b">
        <v>0</v>
      </c>
      <c r="S4" s="14"/>
      <c r="T4" s="15" t="e">
        <f t="shared" ca="1" si="0"/>
        <v>#NAME?</v>
      </c>
      <c r="U4" s="14"/>
    </row>
    <row r="5" spans="1:39" ht="81" customHeight="1">
      <c r="A5" s="6">
        <v>45936.869444444441</v>
      </c>
      <c r="B5" s="6"/>
      <c r="C5" s="8" t="s">
        <v>44</v>
      </c>
      <c r="D5" s="8" t="s">
        <v>45</v>
      </c>
      <c r="E5" s="8" t="s">
        <v>46</v>
      </c>
      <c r="F5" s="8" t="s">
        <v>47</v>
      </c>
      <c r="G5" s="9" t="s">
        <v>48</v>
      </c>
      <c r="H5" s="8" t="s">
        <v>49</v>
      </c>
      <c r="I5" s="8" t="s">
        <v>50</v>
      </c>
      <c r="J5" s="10"/>
      <c r="K5" s="8" t="s">
        <v>27</v>
      </c>
      <c r="L5" s="11" t="s">
        <v>28</v>
      </c>
      <c r="M5" s="12" t="s">
        <v>29</v>
      </c>
      <c r="N5" s="12" t="s">
        <v>29</v>
      </c>
      <c r="O5" s="13"/>
      <c r="P5" s="8"/>
      <c r="Q5" s="8"/>
      <c r="R5" s="16" t="b">
        <v>0</v>
      </c>
      <c r="S5" s="16"/>
      <c r="T5" s="15" t="e">
        <f t="shared" ca="1" si="0"/>
        <v>#NAME?</v>
      </c>
      <c r="U5" s="16"/>
    </row>
    <row r="6" spans="1:39" ht="81" customHeight="1">
      <c r="A6" s="6">
        <v>45937.255949074075</v>
      </c>
      <c r="B6" s="6"/>
      <c r="C6" s="8" t="s">
        <v>51</v>
      </c>
      <c r="D6" s="8" t="s">
        <v>52</v>
      </c>
      <c r="E6" s="8" t="s">
        <v>53</v>
      </c>
      <c r="F6" s="8" t="s">
        <v>54</v>
      </c>
      <c r="G6" s="9" t="s">
        <v>24</v>
      </c>
      <c r="H6" s="8" t="s">
        <v>49</v>
      </c>
      <c r="I6" s="8" t="s">
        <v>55</v>
      </c>
      <c r="J6" s="10"/>
      <c r="K6" s="8" t="s">
        <v>27</v>
      </c>
      <c r="L6" s="11" t="s">
        <v>28</v>
      </c>
      <c r="M6" s="12" t="s">
        <v>29</v>
      </c>
      <c r="N6" s="12" t="s">
        <v>29</v>
      </c>
      <c r="O6" s="13"/>
      <c r="P6" s="8"/>
      <c r="Q6" s="8"/>
      <c r="R6" s="14" t="b">
        <v>0</v>
      </c>
      <c r="S6" s="14"/>
      <c r="T6" s="15" t="e">
        <f t="shared" ca="1" si="0"/>
        <v>#NAME?</v>
      </c>
      <c r="U6" s="14"/>
    </row>
    <row r="7" spans="1:39" ht="81" customHeight="1">
      <c r="A7" s="6">
        <v>45937.299039351848</v>
      </c>
      <c r="B7" s="6"/>
      <c r="C7" s="8" t="s">
        <v>56</v>
      </c>
      <c r="D7" s="8" t="s">
        <v>57</v>
      </c>
      <c r="E7" s="8" t="s">
        <v>58</v>
      </c>
      <c r="F7" s="8" t="s">
        <v>59</v>
      </c>
      <c r="G7" s="9"/>
      <c r="H7" s="8" t="s">
        <v>49</v>
      </c>
      <c r="I7" s="8" t="s">
        <v>60</v>
      </c>
      <c r="J7" s="10"/>
      <c r="K7" s="8" t="s">
        <v>27</v>
      </c>
      <c r="L7" s="11" t="s">
        <v>28</v>
      </c>
      <c r="M7" s="12" t="s">
        <v>29</v>
      </c>
      <c r="N7" s="12" t="s">
        <v>29</v>
      </c>
      <c r="O7" s="13"/>
      <c r="P7" s="8"/>
      <c r="Q7" s="8"/>
      <c r="R7" s="16" t="b">
        <v>0</v>
      </c>
      <c r="S7" s="16"/>
      <c r="T7" s="15" t="e">
        <f t="shared" ca="1" si="0"/>
        <v>#NAME?</v>
      </c>
      <c r="U7" s="16"/>
    </row>
    <row r="8" spans="1:39" ht="81" customHeight="1">
      <c r="A8" s="6">
        <v>45937.31145833333</v>
      </c>
      <c r="B8" s="6"/>
      <c r="C8" s="8" t="s">
        <v>61</v>
      </c>
      <c r="D8" s="8" t="s">
        <v>62</v>
      </c>
      <c r="E8" s="8" t="s">
        <v>63</v>
      </c>
      <c r="F8" s="17" t="s">
        <v>64</v>
      </c>
      <c r="G8" s="9" t="s">
        <v>40</v>
      </c>
      <c r="H8" s="8" t="s">
        <v>49</v>
      </c>
      <c r="I8" s="8" t="s">
        <v>65</v>
      </c>
      <c r="J8" s="10"/>
      <c r="K8" s="8" t="s">
        <v>27</v>
      </c>
      <c r="L8" s="11" t="s">
        <v>28</v>
      </c>
      <c r="M8" s="12" t="s">
        <v>29</v>
      </c>
      <c r="N8" s="12" t="s">
        <v>29</v>
      </c>
      <c r="O8" s="13"/>
      <c r="P8" s="8"/>
      <c r="Q8" s="8"/>
      <c r="R8" s="14" t="b">
        <v>0</v>
      </c>
      <c r="S8" s="14"/>
      <c r="T8" s="15" t="e">
        <f t="shared" ca="1" si="0"/>
        <v>#NAME?</v>
      </c>
      <c r="U8" s="14"/>
    </row>
    <row r="9" spans="1:39" ht="81" customHeight="1">
      <c r="A9" s="6">
        <v>45937.328206018516</v>
      </c>
      <c r="B9" s="6"/>
      <c r="C9" s="8" t="s">
        <v>61</v>
      </c>
      <c r="D9" s="8" t="s">
        <v>66</v>
      </c>
      <c r="E9" s="8" t="s">
        <v>67</v>
      </c>
      <c r="F9" s="17" t="s">
        <v>64</v>
      </c>
      <c r="G9" s="9" t="s">
        <v>40</v>
      </c>
      <c r="H9" s="8" t="s">
        <v>49</v>
      </c>
      <c r="I9" s="8" t="s">
        <v>68</v>
      </c>
      <c r="J9" s="10"/>
      <c r="K9" s="8" t="s">
        <v>27</v>
      </c>
      <c r="L9" s="11" t="s">
        <v>28</v>
      </c>
      <c r="M9" s="12" t="s">
        <v>29</v>
      </c>
      <c r="N9" s="12" t="s">
        <v>29</v>
      </c>
      <c r="P9" s="8"/>
      <c r="Q9" s="8"/>
      <c r="R9" s="16" t="b">
        <v>0</v>
      </c>
      <c r="S9" s="16"/>
      <c r="T9" s="15" t="e">
        <f t="shared" ca="1" si="0"/>
        <v>#NAME?</v>
      </c>
      <c r="U9" s="18" t="s">
        <v>69</v>
      </c>
    </row>
    <row r="10" spans="1:39" ht="81" customHeight="1">
      <c r="A10" s="6">
        <v>45937.334780092591</v>
      </c>
      <c r="B10" s="6"/>
      <c r="C10" s="8" t="s">
        <v>61</v>
      </c>
      <c r="D10" s="8" t="s">
        <v>70</v>
      </c>
      <c r="E10" s="8" t="s">
        <v>71</v>
      </c>
      <c r="F10" s="17" t="s">
        <v>64</v>
      </c>
      <c r="G10" s="9" t="s">
        <v>40</v>
      </c>
      <c r="H10" s="8" t="s">
        <v>72</v>
      </c>
      <c r="I10" s="8" t="s">
        <v>73</v>
      </c>
      <c r="J10" s="10"/>
      <c r="K10" s="8" t="s">
        <v>27</v>
      </c>
      <c r="L10" s="11" t="s">
        <v>28</v>
      </c>
      <c r="M10" s="12" t="s">
        <v>29</v>
      </c>
      <c r="N10" s="12" t="s">
        <v>29</v>
      </c>
      <c r="O10" s="13"/>
      <c r="P10" s="8"/>
      <c r="Q10" s="8"/>
      <c r="R10" s="14" t="b">
        <v>0</v>
      </c>
      <c r="S10" s="14"/>
      <c r="T10" s="15" t="e">
        <f t="shared" ca="1" si="0"/>
        <v>#NAME?</v>
      </c>
      <c r="U10" s="14"/>
    </row>
    <row r="11" spans="1:39" ht="81" customHeight="1">
      <c r="A11" s="6">
        <v>45937.527511574073</v>
      </c>
      <c r="B11" s="6"/>
      <c r="C11" s="8" t="s">
        <v>61</v>
      </c>
      <c r="D11" s="8" t="s">
        <v>74</v>
      </c>
      <c r="E11" s="8" t="s">
        <v>75</v>
      </c>
      <c r="F11" s="17" t="s">
        <v>64</v>
      </c>
      <c r="G11" s="9" t="s">
        <v>76</v>
      </c>
      <c r="H11" s="8" t="s">
        <v>77</v>
      </c>
      <c r="I11" s="8" t="s">
        <v>78</v>
      </c>
      <c r="J11" s="10"/>
      <c r="K11" s="8" t="s">
        <v>27</v>
      </c>
      <c r="L11" s="11" t="s">
        <v>28</v>
      </c>
      <c r="M11" s="12" t="s">
        <v>29</v>
      </c>
      <c r="N11" s="12" t="s">
        <v>29</v>
      </c>
      <c r="O11" s="13"/>
      <c r="P11" s="8"/>
      <c r="Q11" s="8"/>
      <c r="R11" s="16" t="b">
        <v>0</v>
      </c>
      <c r="S11" s="16"/>
      <c r="T11" s="15" t="e">
        <f t="shared" ca="1" si="0"/>
        <v>#NAME?</v>
      </c>
      <c r="U11" s="16"/>
    </row>
    <row r="12" spans="1:39" ht="81" customHeight="1">
      <c r="A12" s="6">
        <v>45937.579247685186</v>
      </c>
      <c r="B12" s="6"/>
      <c r="C12" s="8" t="s">
        <v>79</v>
      </c>
      <c r="D12" s="9" t="s">
        <v>80</v>
      </c>
      <c r="E12" s="8" t="s">
        <v>81</v>
      </c>
      <c r="F12" s="17" t="s">
        <v>64</v>
      </c>
      <c r="G12" s="9" t="s">
        <v>76</v>
      </c>
      <c r="H12" s="8" t="s">
        <v>49</v>
      </c>
      <c r="I12" s="8" t="s">
        <v>82</v>
      </c>
      <c r="J12" s="10"/>
      <c r="K12" s="8" t="s">
        <v>27</v>
      </c>
      <c r="L12" s="11" t="s">
        <v>28</v>
      </c>
      <c r="M12" s="12" t="s">
        <v>29</v>
      </c>
      <c r="N12" s="12" t="s">
        <v>29</v>
      </c>
      <c r="O12" s="13"/>
      <c r="P12" s="8"/>
      <c r="Q12" s="8"/>
      <c r="R12" s="14" t="b">
        <v>0</v>
      </c>
      <c r="S12" s="14"/>
      <c r="T12" s="15" t="e">
        <f t="shared" ca="1" si="0"/>
        <v>#NAME?</v>
      </c>
      <c r="U12" s="14"/>
    </row>
    <row r="13" spans="1:39" ht="81" customHeight="1">
      <c r="A13" s="6">
        <v>45938.436967592592</v>
      </c>
      <c r="B13" s="9">
        <v>48073</v>
      </c>
      <c r="C13" s="8" t="s">
        <v>83</v>
      </c>
      <c r="D13" s="8" t="s">
        <v>84</v>
      </c>
      <c r="E13" s="8" t="s">
        <v>85</v>
      </c>
      <c r="F13" s="17" t="s">
        <v>64</v>
      </c>
      <c r="G13" s="9" t="s">
        <v>24</v>
      </c>
      <c r="H13" s="8" t="s">
        <v>49</v>
      </c>
      <c r="I13" s="8" t="s">
        <v>86</v>
      </c>
      <c r="J13" s="10"/>
      <c r="K13" s="8" t="s">
        <v>43</v>
      </c>
      <c r="L13" s="11" t="s">
        <v>43</v>
      </c>
      <c r="M13" s="12" t="s">
        <v>29</v>
      </c>
      <c r="N13" s="12" t="s">
        <v>29</v>
      </c>
      <c r="O13" s="13">
        <v>185</v>
      </c>
      <c r="P13" s="8" t="s">
        <v>87</v>
      </c>
      <c r="Q13" s="8" t="s">
        <v>88</v>
      </c>
      <c r="R13" s="16" t="b">
        <v>1</v>
      </c>
      <c r="S13" s="16" t="s">
        <v>89</v>
      </c>
      <c r="T13" s="15" t="e">
        <f t="shared" ca="1" si="0"/>
        <v>#NAME?</v>
      </c>
      <c r="U13" s="19"/>
      <c r="V13" s="20"/>
      <c r="W13" s="20"/>
      <c r="X13" s="20"/>
      <c r="Y13" s="20"/>
      <c r="Z13" s="20"/>
      <c r="AA13" s="20"/>
      <c r="AB13" s="20"/>
      <c r="AC13" s="20"/>
      <c r="AD13" s="20"/>
      <c r="AE13" s="20"/>
    </row>
    <row r="14" spans="1:39" ht="81" customHeight="1">
      <c r="A14" s="6">
        <v>45938.534618055557</v>
      </c>
      <c r="B14" s="6"/>
      <c r="C14" s="8" t="s">
        <v>83</v>
      </c>
      <c r="D14" s="8" t="s">
        <v>90</v>
      </c>
      <c r="E14" s="8" t="s">
        <v>91</v>
      </c>
      <c r="F14" s="17" t="s">
        <v>64</v>
      </c>
      <c r="G14" s="9" t="s">
        <v>76</v>
      </c>
      <c r="H14" s="8" t="s">
        <v>49</v>
      </c>
      <c r="I14" s="8" t="s">
        <v>92</v>
      </c>
      <c r="J14" s="10"/>
      <c r="K14" s="8" t="s">
        <v>27</v>
      </c>
      <c r="L14" s="11" t="s">
        <v>28</v>
      </c>
      <c r="M14" s="12" t="s">
        <v>29</v>
      </c>
      <c r="N14" s="12" t="s">
        <v>29</v>
      </c>
      <c r="O14" s="13"/>
      <c r="P14" s="8"/>
      <c r="Q14" s="8"/>
      <c r="R14" s="14" t="b">
        <v>0</v>
      </c>
      <c r="S14" s="14"/>
      <c r="T14" s="15" t="e">
        <f t="shared" ca="1" si="0"/>
        <v>#NAME?</v>
      </c>
      <c r="U14" s="14"/>
    </row>
    <row r="15" spans="1:39" ht="81" customHeight="1">
      <c r="A15" s="6">
        <v>45938.593344907407</v>
      </c>
      <c r="B15" s="9">
        <v>48132</v>
      </c>
      <c r="C15" s="21" t="s">
        <v>83</v>
      </c>
      <c r="D15" s="8" t="s">
        <v>93</v>
      </c>
      <c r="E15" s="8" t="s">
        <v>94</v>
      </c>
      <c r="F15" s="17" t="s">
        <v>64</v>
      </c>
      <c r="G15" s="9" t="s">
        <v>76</v>
      </c>
      <c r="H15" s="8" t="s">
        <v>49</v>
      </c>
      <c r="I15" s="8" t="s">
        <v>95</v>
      </c>
      <c r="J15" s="10"/>
      <c r="K15" s="8" t="s">
        <v>96</v>
      </c>
      <c r="L15" s="11" t="s">
        <v>28</v>
      </c>
      <c r="M15" s="12" t="s">
        <v>29</v>
      </c>
      <c r="N15" s="12" t="s">
        <v>29</v>
      </c>
      <c r="O15" s="13">
        <v>205</v>
      </c>
      <c r="P15" s="8" t="s">
        <v>87</v>
      </c>
      <c r="Q15" s="8" t="s">
        <v>97</v>
      </c>
      <c r="R15" s="16" t="b">
        <v>1</v>
      </c>
      <c r="S15" s="16"/>
      <c r="T15" s="15" t="e">
        <f t="shared" ca="1" si="0"/>
        <v>#NAME?</v>
      </c>
      <c r="U15" s="16"/>
    </row>
    <row r="16" spans="1:39" ht="81" customHeight="1">
      <c r="A16" s="6">
        <v>45938.705416666664</v>
      </c>
      <c r="B16" s="6"/>
      <c r="C16" s="8" t="s">
        <v>98</v>
      </c>
      <c r="D16" s="8" t="s">
        <v>99</v>
      </c>
      <c r="E16" s="8" t="s">
        <v>100</v>
      </c>
      <c r="F16" s="8" t="s">
        <v>101</v>
      </c>
      <c r="G16" s="9" t="s">
        <v>24</v>
      </c>
      <c r="H16" s="8" t="s">
        <v>41</v>
      </c>
      <c r="I16" s="8" t="s">
        <v>102</v>
      </c>
      <c r="J16" s="10"/>
      <c r="K16" s="8" t="s">
        <v>43</v>
      </c>
      <c r="L16" s="11" t="s">
        <v>43</v>
      </c>
      <c r="M16" s="12" t="s">
        <v>29</v>
      </c>
      <c r="N16" s="12" t="s">
        <v>29</v>
      </c>
      <c r="O16" s="13"/>
      <c r="P16" s="8"/>
      <c r="Q16" s="8"/>
      <c r="R16" s="14" t="b">
        <v>0</v>
      </c>
      <c r="S16" s="14"/>
      <c r="T16" s="15" t="e">
        <f t="shared" ca="1" si="0"/>
        <v>#NAME?</v>
      </c>
      <c r="U16" s="14"/>
    </row>
    <row r="17" spans="1:39" ht="81" customHeight="1">
      <c r="A17" s="6">
        <v>45939.430752314816</v>
      </c>
      <c r="B17" s="6"/>
      <c r="C17" s="8" t="s">
        <v>103</v>
      </c>
      <c r="D17" s="8" t="s">
        <v>104</v>
      </c>
      <c r="E17" s="8" t="s">
        <v>105</v>
      </c>
      <c r="F17" s="8" t="s">
        <v>106</v>
      </c>
      <c r="G17" s="9" t="s">
        <v>24</v>
      </c>
      <c r="H17" s="8" t="s">
        <v>34</v>
      </c>
      <c r="I17" s="8" t="s">
        <v>107</v>
      </c>
      <c r="J17" s="10"/>
      <c r="K17" s="8" t="s">
        <v>27</v>
      </c>
      <c r="L17" s="11" t="s">
        <v>28</v>
      </c>
      <c r="M17" s="12" t="s">
        <v>29</v>
      </c>
      <c r="N17" s="12" t="s">
        <v>29</v>
      </c>
      <c r="O17" s="13"/>
      <c r="P17" s="8"/>
      <c r="Q17" s="8"/>
      <c r="R17" s="16" t="b">
        <v>0</v>
      </c>
      <c r="S17" s="16"/>
      <c r="T17" s="15" t="e">
        <f t="shared" ca="1" si="0"/>
        <v>#NAME?</v>
      </c>
      <c r="U17" s="16"/>
    </row>
    <row r="18" spans="1:39" ht="81" customHeight="1">
      <c r="A18" s="6">
        <v>45940.402858796297</v>
      </c>
      <c r="B18" s="6"/>
      <c r="C18" s="8" t="s">
        <v>108</v>
      </c>
      <c r="D18" s="8" t="s">
        <v>109</v>
      </c>
      <c r="E18" s="8" t="s">
        <v>110</v>
      </c>
      <c r="F18" s="8" t="s">
        <v>111</v>
      </c>
      <c r="G18" s="9" t="s">
        <v>40</v>
      </c>
      <c r="H18" s="8" t="s">
        <v>72</v>
      </c>
      <c r="I18" s="8" t="s">
        <v>112</v>
      </c>
      <c r="J18" s="10"/>
      <c r="K18" s="8" t="s">
        <v>27</v>
      </c>
      <c r="L18" s="11" t="s">
        <v>28</v>
      </c>
      <c r="M18" s="12" t="s">
        <v>29</v>
      </c>
      <c r="N18" s="12" t="s">
        <v>29</v>
      </c>
      <c r="O18" s="13"/>
      <c r="P18" s="8"/>
      <c r="Q18" s="8"/>
      <c r="R18" s="14" t="b">
        <v>0</v>
      </c>
      <c r="S18" s="14"/>
      <c r="T18" s="15" t="e">
        <f t="shared" ca="1" si="0"/>
        <v>#NAME?</v>
      </c>
      <c r="U18" s="14"/>
    </row>
    <row r="19" spans="1:39" ht="81" customHeight="1">
      <c r="A19" s="6">
        <v>45943.347245370373</v>
      </c>
      <c r="B19" s="9">
        <v>48091</v>
      </c>
      <c r="C19" s="8" t="s">
        <v>113</v>
      </c>
      <c r="D19" s="8" t="s">
        <v>114</v>
      </c>
      <c r="E19" s="8" t="s">
        <v>115</v>
      </c>
      <c r="F19" s="8" t="s">
        <v>116</v>
      </c>
      <c r="G19" s="9" t="s">
        <v>40</v>
      </c>
      <c r="H19" s="8" t="s">
        <v>77</v>
      </c>
      <c r="I19" s="8" t="s">
        <v>117</v>
      </c>
      <c r="J19" s="10"/>
      <c r="K19" s="8" t="s">
        <v>27</v>
      </c>
      <c r="L19" s="11" t="s">
        <v>28</v>
      </c>
      <c r="M19" s="12" t="s">
        <v>118</v>
      </c>
      <c r="N19" s="12" t="s">
        <v>29</v>
      </c>
      <c r="O19" s="13">
        <v>205</v>
      </c>
      <c r="P19" s="8" t="s">
        <v>87</v>
      </c>
      <c r="Q19" s="8" t="s">
        <v>88</v>
      </c>
      <c r="R19" s="22" t="b">
        <v>1</v>
      </c>
      <c r="S19" s="16" t="s">
        <v>119</v>
      </c>
      <c r="T19" s="15" t="e">
        <f t="shared" ca="1" si="0"/>
        <v>#NAME?</v>
      </c>
    </row>
    <row r="20" spans="1:39" ht="81" customHeight="1">
      <c r="A20" s="6">
        <v>45943.410138888888</v>
      </c>
      <c r="B20" s="9">
        <v>48089</v>
      </c>
      <c r="C20" s="8" t="s">
        <v>120</v>
      </c>
      <c r="D20" s="8" t="s">
        <v>121</v>
      </c>
      <c r="E20" s="9" t="s">
        <v>122</v>
      </c>
      <c r="F20" s="8" t="s">
        <v>116</v>
      </c>
      <c r="G20" s="9" t="s">
        <v>40</v>
      </c>
      <c r="H20" s="8" t="s">
        <v>49</v>
      </c>
      <c r="I20" s="8" t="s">
        <v>123</v>
      </c>
      <c r="J20" s="10"/>
      <c r="K20" s="8" t="s">
        <v>27</v>
      </c>
      <c r="L20" s="11" t="s">
        <v>28</v>
      </c>
      <c r="M20" s="12" t="s">
        <v>118</v>
      </c>
      <c r="N20" s="12" t="s">
        <v>29</v>
      </c>
      <c r="O20" s="13">
        <v>205</v>
      </c>
      <c r="P20" s="8" t="s">
        <v>87</v>
      </c>
      <c r="Q20" s="8" t="s">
        <v>88</v>
      </c>
      <c r="R20" s="22" t="b">
        <v>1</v>
      </c>
      <c r="S20" s="14" t="s">
        <v>124</v>
      </c>
      <c r="T20" s="15" t="e">
        <f t="shared" ca="1" si="0"/>
        <v>#NAME?</v>
      </c>
    </row>
    <row r="21" spans="1:39" ht="81" customHeight="1">
      <c r="A21" s="6">
        <v>45943.65452546296</v>
      </c>
      <c r="B21" s="6"/>
      <c r="C21" s="8" t="s">
        <v>125</v>
      </c>
      <c r="D21" s="23" t="s">
        <v>126</v>
      </c>
      <c r="E21" s="8" t="s">
        <v>127</v>
      </c>
      <c r="F21" s="8" t="s">
        <v>116</v>
      </c>
      <c r="G21" s="9" t="s">
        <v>24</v>
      </c>
      <c r="H21" s="8" t="s">
        <v>128</v>
      </c>
      <c r="I21" s="8" t="s">
        <v>129</v>
      </c>
      <c r="J21" s="10"/>
      <c r="K21" s="8" t="s">
        <v>27</v>
      </c>
      <c r="L21" s="11" t="s">
        <v>28</v>
      </c>
      <c r="M21" s="12" t="s">
        <v>29</v>
      </c>
      <c r="N21" s="12" t="s">
        <v>29</v>
      </c>
      <c r="O21" s="13"/>
      <c r="P21" s="8"/>
      <c r="Q21" s="8"/>
      <c r="R21" s="16" t="b">
        <v>0</v>
      </c>
      <c r="S21" s="16"/>
      <c r="T21" s="15" t="e">
        <f t="shared" ca="1" si="0"/>
        <v>#NAME?</v>
      </c>
      <c r="U21" s="16"/>
    </row>
    <row r="22" spans="1:39" ht="81" customHeight="1">
      <c r="A22" s="6">
        <v>45943.678032407406</v>
      </c>
      <c r="B22" s="9">
        <v>48092</v>
      </c>
      <c r="C22" s="8" t="s">
        <v>130</v>
      </c>
      <c r="D22" s="8" t="s">
        <v>131</v>
      </c>
      <c r="E22" s="8" t="s">
        <v>132</v>
      </c>
      <c r="F22" s="8" t="s">
        <v>133</v>
      </c>
      <c r="G22" s="9" t="s">
        <v>48</v>
      </c>
      <c r="H22" s="8" t="s">
        <v>49</v>
      </c>
      <c r="I22" s="8" t="s">
        <v>134</v>
      </c>
      <c r="J22" s="10"/>
      <c r="K22" s="8" t="s">
        <v>135</v>
      </c>
      <c r="L22" s="11" t="s">
        <v>28</v>
      </c>
      <c r="M22" s="12" t="s">
        <v>118</v>
      </c>
      <c r="N22" s="12" t="s">
        <v>118</v>
      </c>
      <c r="O22" s="13">
        <v>240</v>
      </c>
      <c r="P22" s="8" t="s">
        <v>87</v>
      </c>
      <c r="Q22" s="8" t="s">
        <v>97</v>
      </c>
      <c r="R22" s="14" t="b">
        <v>1</v>
      </c>
      <c r="S22" s="14"/>
      <c r="T22" s="15" t="e">
        <f t="shared" ca="1" si="0"/>
        <v>#NAME?</v>
      </c>
      <c r="U22" s="14"/>
    </row>
    <row r="23" spans="1:39" ht="81" customHeight="1">
      <c r="A23" s="6">
        <v>45943.762719907405</v>
      </c>
      <c r="B23" s="6"/>
      <c r="C23" s="8" t="s">
        <v>136</v>
      </c>
      <c r="D23" s="8" t="s">
        <v>137</v>
      </c>
      <c r="E23" s="8" t="s">
        <v>138</v>
      </c>
      <c r="F23" s="8" t="s">
        <v>139</v>
      </c>
      <c r="G23" s="9" t="s">
        <v>76</v>
      </c>
      <c r="H23" s="8" t="s">
        <v>128</v>
      </c>
      <c r="I23" s="8" t="s">
        <v>140</v>
      </c>
      <c r="J23" s="10"/>
      <c r="K23" s="8" t="s">
        <v>43</v>
      </c>
      <c r="L23" s="11" t="s">
        <v>43</v>
      </c>
      <c r="M23" s="12" t="s">
        <v>29</v>
      </c>
      <c r="N23" s="12" t="s">
        <v>29</v>
      </c>
      <c r="O23" s="13"/>
      <c r="P23" s="8"/>
      <c r="Q23" s="8"/>
      <c r="R23" s="16" t="b">
        <v>0</v>
      </c>
      <c r="S23" s="16"/>
      <c r="T23" s="15" t="e">
        <f t="shared" ca="1" si="0"/>
        <v>#NAME?</v>
      </c>
      <c r="U23" s="16"/>
    </row>
    <row r="24" spans="1:39" ht="81" customHeight="1">
      <c r="A24" s="6">
        <v>45943.873668981483</v>
      </c>
      <c r="B24" s="6"/>
      <c r="C24" s="8" t="s">
        <v>141</v>
      </c>
      <c r="D24" s="8" t="s">
        <v>142</v>
      </c>
      <c r="E24" s="8" t="s">
        <v>143</v>
      </c>
      <c r="F24" s="8" t="s">
        <v>144</v>
      </c>
      <c r="G24" s="9" t="s">
        <v>40</v>
      </c>
      <c r="H24" s="8" t="s">
        <v>145</v>
      </c>
      <c r="I24" s="8" t="s">
        <v>146</v>
      </c>
      <c r="J24" s="10"/>
      <c r="K24" s="8" t="s">
        <v>27</v>
      </c>
      <c r="L24" s="11" t="s">
        <v>28</v>
      </c>
      <c r="M24" s="12" t="s">
        <v>29</v>
      </c>
      <c r="N24" s="12" t="s">
        <v>29</v>
      </c>
      <c r="O24" s="13"/>
      <c r="P24" s="8"/>
      <c r="Q24" s="8"/>
      <c r="R24" s="14" t="b">
        <v>0</v>
      </c>
      <c r="S24" s="14"/>
      <c r="T24" s="15" t="e">
        <f t="shared" ca="1" si="0"/>
        <v>#NAME?</v>
      </c>
      <c r="U24" s="14"/>
    </row>
    <row r="25" spans="1:39" ht="81" customHeight="1">
      <c r="A25" s="6">
        <v>45944.193344907406</v>
      </c>
      <c r="B25" s="9">
        <v>48093</v>
      </c>
      <c r="C25" s="8" t="s">
        <v>147</v>
      </c>
      <c r="D25" s="8" t="s">
        <v>148</v>
      </c>
      <c r="E25" s="8" t="s">
        <v>149</v>
      </c>
      <c r="F25" s="9" t="s">
        <v>150</v>
      </c>
      <c r="G25" s="9" t="s">
        <v>24</v>
      </c>
      <c r="H25" s="8" t="s">
        <v>151</v>
      </c>
      <c r="I25" s="8" t="s">
        <v>152</v>
      </c>
      <c r="J25" s="10"/>
      <c r="K25" s="8" t="s">
        <v>27</v>
      </c>
      <c r="L25" s="11" t="s">
        <v>28</v>
      </c>
      <c r="M25" s="12" t="s">
        <v>118</v>
      </c>
      <c r="N25" s="12" t="s">
        <v>29</v>
      </c>
      <c r="O25" s="13">
        <v>205</v>
      </c>
      <c r="P25" s="8" t="s">
        <v>87</v>
      </c>
      <c r="Q25" s="8" t="s">
        <v>97</v>
      </c>
      <c r="R25" s="16" t="b">
        <v>1</v>
      </c>
      <c r="S25" s="16"/>
      <c r="T25" s="15" t="e">
        <f t="shared" ca="1" si="0"/>
        <v>#NAME?</v>
      </c>
      <c r="U25" s="16"/>
    </row>
    <row r="26" spans="1:39" ht="81" customHeight="1">
      <c r="A26" s="6">
        <v>45944.266157407408</v>
      </c>
      <c r="B26" s="6"/>
      <c r="C26" s="8" t="s">
        <v>153</v>
      </c>
      <c r="D26" s="8" t="s">
        <v>154</v>
      </c>
      <c r="E26" s="8" t="s">
        <v>155</v>
      </c>
      <c r="F26" s="8" t="s">
        <v>156</v>
      </c>
      <c r="G26" s="9" t="s">
        <v>24</v>
      </c>
      <c r="H26" s="8" t="s">
        <v>34</v>
      </c>
      <c r="I26" s="8" t="s">
        <v>157</v>
      </c>
      <c r="J26" s="10"/>
      <c r="K26" s="8" t="s">
        <v>27</v>
      </c>
      <c r="L26" s="11" t="s">
        <v>28</v>
      </c>
      <c r="M26" s="12" t="s">
        <v>29</v>
      </c>
      <c r="N26" s="12" t="s">
        <v>29</v>
      </c>
      <c r="O26" s="13"/>
      <c r="P26" s="8"/>
      <c r="Q26" s="8"/>
      <c r="R26" s="14" t="b">
        <v>0</v>
      </c>
      <c r="S26" s="14"/>
      <c r="T26" s="15" t="e">
        <f t="shared" ca="1" si="0"/>
        <v>#NAME?</v>
      </c>
      <c r="U26" s="14"/>
    </row>
    <row r="27" spans="1:39" ht="81" customHeight="1">
      <c r="A27" s="6">
        <v>45944.342800925922</v>
      </c>
      <c r="B27" s="6"/>
      <c r="C27" s="8" t="s">
        <v>158</v>
      </c>
      <c r="D27" s="8" t="s">
        <v>159</v>
      </c>
      <c r="E27" s="8" t="s">
        <v>155</v>
      </c>
      <c r="F27" s="8" t="s">
        <v>160</v>
      </c>
      <c r="G27" s="9" t="s">
        <v>24</v>
      </c>
      <c r="H27" s="8" t="s">
        <v>41</v>
      </c>
      <c r="I27" s="8" t="s">
        <v>161</v>
      </c>
      <c r="J27" s="10"/>
      <c r="K27" s="8" t="s">
        <v>27</v>
      </c>
      <c r="L27" s="11" t="s">
        <v>28</v>
      </c>
      <c r="M27" s="12" t="s">
        <v>29</v>
      </c>
      <c r="N27" s="12" t="s">
        <v>29</v>
      </c>
      <c r="O27" s="13"/>
      <c r="P27" s="8"/>
      <c r="Q27" s="8"/>
      <c r="R27" s="16" t="b">
        <v>0</v>
      </c>
      <c r="S27" s="16"/>
      <c r="T27" s="15" t="e">
        <f t="shared" ca="1" si="0"/>
        <v>#NAME?</v>
      </c>
      <c r="U27" s="16"/>
    </row>
    <row r="28" spans="1:39" ht="81" customHeight="1">
      <c r="A28" s="6">
        <v>45944.404710648145</v>
      </c>
      <c r="C28" s="8" t="s">
        <v>162</v>
      </c>
      <c r="D28" s="8" t="s">
        <v>163</v>
      </c>
      <c r="E28" s="8" t="s">
        <v>164</v>
      </c>
      <c r="F28" s="8" t="s">
        <v>165</v>
      </c>
      <c r="G28" s="9" t="s">
        <v>48</v>
      </c>
      <c r="H28" s="8" t="s">
        <v>151</v>
      </c>
      <c r="I28" s="8" t="s">
        <v>166</v>
      </c>
      <c r="J28" s="10"/>
      <c r="K28" s="8" t="s">
        <v>27</v>
      </c>
      <c r="L28" s="11" t="s">
        <v>28</v>
      </c>
      <c r="M28" s="12" t="s">
        <v>29</v>
      </c>
      <c r="N28" s="12" t="s">
        <v>29</v>
      </c>
      <c r="O28" s="13"/>
      <c r="P28" s="8"/>
      <c r="Q28" s="8"/>
      <c r="R28" s="14" t="b">
        <v>0</v>
      </c>
      <c r="S28" s="14"/>
      <c r="T28" s="15" t="e">
        <f t="shared" ca="1" si="0"/>
        <v>#NAME?</v>
      </c>
      <c r="U28" s="14"/>
    </row>
    <row r="29" spans="1:39" ht="81" customHeight="1">
      <c r="A29" s="6">
        <v>45944.580706018518</v>
      </c>
      <c r="C29" s="8" t="s">
        <v>167</v>
      </c>
      <c r="D29" s="8" t="s">
        <v>168</v>
      </c>
      <c r="E29" s="8" t="s">
        <v>169</v>
      </c>
      <c r="F29" s="8" t="s">
        <v>170</v>
      </c>
      <c r="G29" s="9" t="s">
        <v>48</v>
      </c>
      <c r="H29" s="8" t="s">
        <v>49</v>
      </c>
      <c r="I29" s="8" t="s">
        <v>171</v>
      </c>
      <c r="J29" s="10"/>
      <c r="K29" s="8" t="s">
        <v>43</v>
      </c>
      <c r="L29" s="11" t="s">
        <v>43</v>
      </c>
      <c r="M29" s="12" t="s">
        <v>29</v>
      </c>
      <c r="N29" s="12" t="s">
        <v>29</v>
      </c>
      <c r="O29" s="13"/>
      <c r="P29" s="8"/>
      <c r="Q29" s="8"/>
      <c r="R29" s="16" t="b">
        <v>0</v>
      </c>
      <c r="S29" s="16"/>
      <c r="T29" s="15" t="e">
        <f t="shared" ca="1" si="0"/>
        <v>#NAME?</v>
      </c>
      <c r="U29" s="16"/>
    </row>
    <row r="30" spans="1:39" ht="81" customHeight="1">
      <c r="A30" s="6">
        <v>45945.358217592591</v>
      </c>
      <c r="B30" s="9"/>
      <c r="C30" s="8" t="s">
        <v>172</v>
      </c>
      <c r="D30" s="8" t="s">
        <v>173</v>
      </c>
      <c r="E30" s="8" t="s">
        <v>174</v>
      </c>
      <c r="F30" s="8" t="s">
        <v>175</v>
      </c>
      <c r="G30" s="9" t="s">
        <v>40</v>
      </c>
      <c r="H30" s="9" t="s">
        <v>49</v>
      </c>
      <c r="I30" s="9" t="s">
        <v>176</v>
      </c>
      <c r="J30" s="10"/>
      <c r="K30" s="9" t="s">
        <v>27</v>
      </c>
      <c r="L30" s="11" t="s">
        <v>28</v>
      </c>
      <c r="M30" s="12" t="s">
        <v>29</v>
      </c>
      <c r="N30" s="12" t="s">
        <v>29</v>
      </c>
      <c r="O30" s="13"/>
      <c r="P30" s="9"/>
      <c r="Q30" s="9"/>
      <c r="R30" s="24" t="b">
        <v>0</v>
      </c>
      <c r="S30" s="24"/>
      <c r="T30" s="15" t="e">
        <f t="shared" ca="1" si="0"/>
        <v>#NAME?</v>
      </c>
      <c r="U30" s="24"/>
      <c r="V30" s="10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spans="1:39" ht="81" customHeight="1">
      <c r="A31" s="6">
        <v>45945.56591435185</v>
      </c>
      <c r="C31" s="8" t="s">
        <v>177</v>
      </c>
      <c r="D31" s="8" t="s">
        <v>173</v>
      </c>
      <c r="E31" s="8" t="s">
        <v>178</v>
      </c>
      <c r="F31" s="8" t="s">
        <v>179</v>
      </c>
      <c r="G31" s="9" t="s">
        <v>48</v>
      </c>
      <c r="H31" s="8" t="s">
        <v>180</v>
      </c>
      <c r="I31" s="8" t="s">
        <v>181</v>
      </c>
      <c r="J31" s="10"/>
      <c r="K31" s="9" t="s">
        <v>27</v>
      </c>
      <c r="L31" s="11" t="s">
        <v>28</v>
      </c>
      <c r="M31" s="12" t="s">
        <v>29</v>
      </c>
      <c r="N31" s="12" t="s">
        <v>29</v>
      </c>
      <c r="O31" s="13"/>
      <c r="P31" s="8"/>
      <c r="Q31" s="8"/>
      <c r="R31" s="16" t="b">
        <v>0</v>
      </c>
      <c r="S31" s="16"/>
      <c r="T31" s="15" t="e">
        <f t="shared" ca="1" si="0"/>
        <v>#NAME?</v>
      </c>
      <c r="U31" s="16"/>
    </row>
    <row r="32" spans="1:39" ht="81" customHeight="1">
      <c r="A32" s="6">
        <v>45945.631782407407</v>
      </c>
      <c r="C32" s="8" t="s">
        <v>182</v>
      </c>
      <c r="D32" s="8" t="s">
        <v>183</v>
      </c>
      <c r="E32" s="8" t="s">
        <v>184</v>
      </c>
      <c r="F32" s="8" t="s">
        <v>185</v>
      </c>
      <c r="G32" s="9"/>
      <c r="H32" s="8" t="s">
        <v>34</v>
      </c>
      <c r="I32" s="8" t="s">
        <v>186</v>
      </c>
      <c r="J32" s="10"/>
      <c r="K32" s="9" t="s">
        <v>27</v>
      </c>
      <c r="L32" s="11" t="s">
        <v>28</v>
      </c>
      <c r="M32" s="12" t="s">
        <v>29</v>
      </c>
      <c r="N32" s="12" t="s">
        <v>29</v>
      </c>
      <c r="O32" s="13"/>
      <c r="P32" s="8"/>
      <c r="Q32" s="8"/>
      <c r="R32" s="14" t="b">
        <v>0</v>
      </c>
      <c r="S32" s="14"/>
      <c r="T32" s="15" t="e">
        <f t="shared" ca="1" si="0"/>
        <v>#NAME?</v>
      </c>
      <c r="U32" s="14"/>
    </row>
    <row r="33" spans="1:21" ht="81" customHeight="1">
      <c r="A33" s="6">
        <v>45946.358831018515</v>
      </c>
      <c r="C33" s="8" t="s">
        <v>187</v>
      </c>
      <c r="D33" s="8" t="s">
        <v>188</v>
      </c>
      <c r="E33" s="8" t="s">
        <v>189</v>
      </c>
      <c r="F33" s="8" t="s">
        <v>190</v>
      </c>
      <c r="G33" s="9" t="s">
        <v>76</v>
      </c>
      <c r="H33" s="8" t="s">
        <v>49</v>
      </c>
      <c r="I33" s="8" t="s">
        <v>191</v>
      </c>
      <c r="J33" s="10"/>
      <c r="K33" s="9" t="s">
        <v>43</v>
      </c>
      <c r="L33" s="11" t="s">
        <v>43</v>
      </c>
      <c r="M33" s="12" t="s">
        <v>29</v>
      </c>
      <c r="N33" s="12" t="s">
        <v>29</v>
      </c>
      <c r="O33" s="13"/>
      <c r="P33" s="8"/>
      <c r="Q33" s="8"/>
      <c r="R33" s="16" t="b">
        <v>0</v>
      </c>
      <c r="S33" s="16"/>
      <c r="T33" s="15" t="e">
        <f t="shared" ca="1" si="0"/>
        <v>#NAME?</v>
      </c>
      <c r="U33" s="16"/>
    </row>
    <row r="34" spans="1:21" ht="81" customHeight="1">
      <c r="A34" s="6">
        <v>45947.525659722225</v>
      </c>
      <c r="B34" s="9">
        <v>48095</v>
      </c>
      <c r="C34" s="8" t="s">
        <v>192</v>
      </c>
      <c r="D34" s="8" t="s">
        <v>193</v>
      </c>
      <c r="E34" s="8" t="s">
        <v>194</v>
      </c>
      <c r="F34" s="8" t="s">
        <v>195</v>
      </c>
      <c r="G34" s="9" t="s">
        <v>40</v>
      </c>
      <c r="H34" s="8" t="s">
        <v>49</v>
      </c>
      <c r="I34" s="8" t="s">
        <v>196</v>
      </c>
      <c r="J34" s="10"/>
      <c r="K34" s="9" t="s">
        <v>27</v>
      </c>
      <c r="L34" s="11" t="s">
        <v>28</v>
      </c>
      <c r="M34" s="12" t="s">
        <v>118</v>
      </c>
      <c r="N34" s="12" t="s">
        <v>29</v>
      </c>
      <c r="O34" s="13">
        <v>205</v>
      </c>
      <c r="P34" s="8" t="s">
        <v>87</v>
      </c>
      <c r="Q34" s="8" t="s">
        <v>97</v>
      </c>
      <c r="R34" s="14" t="b">
        <v>1</v>
      </c>
      <c r="S34" s="14"/>
      <c r="T34" s="15" t="e">
        <f t="shared" ca="1" si="0"/>
        <v>#NAME?</v>
      </c>
      <c r="U34" s="14"/>
    </row>
    <row r="35" spans="1:21" ht="81" customHeight="1">
      <c r="A35" s="6">
        <v>45948.440625000003</v>
      </c>
      <c r="C35" s="8" t="s">
        <v>197</v>
      </c>
      <c r="D35" s="8" t="s">
        <v>198</v>
      </c>
      <c r="E35" s="8" t="s">
        <v>199</v>
      </c>
      <c r="F35" s="8" t="s">
        <v>200</v>
      </c>
      <c r="G35" s="9" t="s">
        <v>40</v>
      </c>
      <c r="H35" s="8" t="s">
        <v>49</v>
      </c>
      <c r="I35" s="8" t="s">
        <v>201</v>
      </c>
      <c r="J35" s="10"/>
      <c r="K35" s="9" t="s">
        <v>43</v>
      </c>
      <c r="L35" s="11" t="s">
        <v>43</v>
      </c>
      <c r="M35" s="12" t="s">
        <v>29</v>
      </c>
      <c r="N35" s="12" t="s">
        <v>29</v>
      </c>
      <c r="O35" s="13"/>
      <c r="P35" s="8"/>
      <c r="Q35" s="8"/>
      <c r="R35" s="16" t="b">
        <v>0</v>
      </c>
      <c r="S35" s="16"/>
      <c r="T35" s="15" t="e">
        <f t="shared" ca="1" si="0"/>
        <v>#NAME?</v>
      </c>
      <c r="U35" s="16"/>
    </row>
    <row r="36" spans="1:21" ht="81" customHeight="1">
      <c r="A36" s="6">
        <v>45949.330972222226</v>
      </c>
      <c r="C36" s="23" t="s">
        <v>197</v>
      </c>
      <c r="D36" s="8" t="s">
        <v>202</v>
      </c>
      <c r="E36" s="8" t="s">
        <v>203</v>
      </c>
      <c r="F36" s="8" t="s">
        <v>204</v>
      </c>
      <c r="G36" s="9" t="s">
        <v>76</v>
      </c>
      <c r="H36" s="8" t="s">
        <v>49</v>
      </c>
      <c r="I36" s="8" t="s">
        <v>205</v>
      </c>
      <c r="J36" s="10"/>
      <c r="K36" s="9" t="s">
        <v>27</v>
      </c>
      <c r="L36" s="11" t="s">
        <v>28</v>
      </c>
      <c r="M36" s="12" t="s">
        <v>29</v>
      </c>
      <c r="N36" s="12" t="s">
        <v>29</v>
      </c>
      <c r="O36" s="13"/>
      <c r="P36" s="8"/>
      <c r="Q36" s="8"/>
      <c r="R36" s="14" t="b">
        <v>0</v>
      </c>
      <c r="S36" s="14"/>
      <c r="T36" s="15" t="e">
        <f t="shared" ca="1" si="0"/>
        <v>#NAME?</v>
      </c>
      <c r="U36" s="14"/>
    </row>
    <row r="37" spans="1:21" ht="81" customHeight="1">
      <c r="A37" s="6">
        <v>45950.526145833333</v>
      </c>
      <c r="C37" s="8" t="s">
        <v>206</v>
      </c>
      <c r="D37" s="8" t="s">
        <v>207</v>
      </c>
      <c r="E37" s="8" t="s">
        <v>208</v>
      </c>
      <c r="F37" s="8" t="s">
        <v>209</v>
      </c>
      <c r="G37" s="9" t="s">
        <v>76</v>
      </c>
      <c r="H37" s="8" t="s">
        <v>49</v>
      </c>
      <c r="I37" s="8" t="s">
        <v>92</v>
      </c>
      <c r="J37" s="10"/>
      <c r="K37" s="9" t="s">
        <v>27</v>
      </c>
      <c r="L37" s="11" t="s">
        <v>28</v>
      </c>
      <c r="M37" s="12" t="s">
        <v>29</v>
      </c>
      <c r="N37" s="12" t="s">
        <v>29</v>
      </c>
      <c r="O37" s="13"/>
      <c r="P37" s="8"/>
      <c r="Q37" s="8"/>
      <c r="R37" s="16" t="b">
        <v>0</v>
      </c>
      <c r="S37" s="16"/>
      <c r="T37" s="15" t="e">
        <f t="shared" ca="1" si="0"/>
        <v>#NAME?</v>
      </c>
      <c r="U37" s="16"/>
    </row>
    <row r="38" spans="1:21" ht="81" customHeight="1">
      <c r="A38" s="6">
        <v>45950.526400462964</v>
      </c>
      <c r="C38" s="8" t="s">
        <v>210</v>
      </c>
      <c r="D38" s="8" t="s">
        <v>211</v>
      </c>
      <c r="E38" s="8" t="s">
        <v>212</v>
      </c>
      <c r="F38" s="8" t="s">
        <v>213</v>
      </c>
      <c r="G38" s="9" t="s">
        <v>76</v>
      </c>
      <c r="H38" s="8" t="s">
        <v>77</v>
      </c>
      <c r="I38" s="8" t="s">
        <v>214</v>
      </c>
      <c r="J38" s="10"/>
      <c r="K38" s="9" t="s">
        <v>27</v>
      </c>
      <c r="L38" s="11" t="s">
        <v>28</v>
      </c>
      <c r="M38" s="12" t="s">
        <v>29</v>
      </c>
      <c r="N38" s="12" t="s">
        <v>29</v>
      </c>
      <c r="O38" s="13"/>
      <c r="P38" s="8"/>
      <c r="Q38" s="8"/>
      <c r="R38" s="14" t="b">
        <v>0</v>
      </c>
      <c r="S38" s="14"/>
      <c r="T38" s="15" t="e">
        <f t="shared" ca="1" si="0"/>
        <v>#NAME?</v>
      </c>
      <c r="U38" s="14"/>
    </row>
    <row r="39" spans="1:21" ht="81" customHeight="1">
      <c r="A39" s="6">
        <v>45950.544479166667</v>
      </c>
      <c r="B39" s="9">
        <v>48133</v>
      </c>
      <c r="C39" s="8" t="s">
        <v>215</v>
      </c>
      <c r="D39" s="8" t="s">
        <v>216</v>
      </c>
      <c r="E39" s="8" t="s">
        <v>217</v>
      </c>
      <c r="F39" s="8" t="s">
        <v>218</v>
      </c>
      <c r="G39" s="9" t="s">
        <v>24</v>
      </c>
      <c r="H39" s="8" t="s">
        <v>219</v>
      </c>
      <c r="I39" s="8" t="s">
        <v>220</v>
      </c>
      <c r="J39" s="10"/>
      <c r="K39" s="8" t="s">
        <v>43</v>
      </c>
      <c r="L39" s="11" t="s">
        <v>43</v>
      </c>
      <c r="M39" s="12" t="s">
        <v>29</v>
      </c>
      <c r="N39" s="12" t="s">
        <v>29</v>
      </c>
      <c r="O39" s="13">
        <v>185</v>
      </c>
      <c r="P39" s="8" t="s">
        <v>87</v>
      </c>
      <c r="Q39" s="8" t="s">
        <v>97</v>
      </c>
      <c r="R39" s="16" t="b">
        <v>1</v>
      </c>
      <c r="S39" s="16"/>
      <c r="T39" s="15" t="e">
        <f t="shared" ca="1" si="0"/>
        <v>#NAME?</v>
      </c>
      <c r="U39" s="16"/>
    </row>
    <row r="40" spans="1:21" ht="81" customHeight="1">
      <c r="A40" s="6">
        <v>45950.744363425925</v>
      </c>
      <c r="C40" s="8" t="s">
        <v>221</v>
      </c>
      <c r="D40" s="8" t="s">
        <v>222</v>
      </c>
      <c r="E40" s="8" t="s">
        <v>223</v>
      </c>
      <c r="F40" s="8" t="s">
        <v>218</v>
      </c>
      <c r="G40" s="9" t="s">
        <v>76</v>
      </c>
      <c r="H40" s="8" t="s">
        <v>72</v>
      </c>
      <c r="I40" s="8" t="s">
        <v>224</v>
      </c>
      <c r="J40" s="10"/>
      <c r="K40" s="9" t="s">
        <v>27</v>
      </c>
      <c r="L40" s="11" t="s">
        <v>28</v>
      </c>
      <c r="M40" s="12" t="s">
        <v>29</v>
      </c>
      <c r="N40" s="12" t="s">
        <v>29</v>
      </c>
      <c r="O40" s="13"/>
      <c r="P40" s="8"/>
      <c r="Q40" s="8"/>
      <c r="R40" s="14" t="b">
        <v>0</v>
      </c>
      <c r="S40" s="14"/>
      <c r="T40" s="15" t="e">
        <f t="shared" ca="1" si="0"/>
        <v>#NAME?</v>
      </c>
      <c r="U40" s="14"/>
    </row>
    <row r="41" spans="1:21" ht="81" customHeight="1">
      <c r="A41" s="6">
        <v>45951.384282407409</v>
      </c>
      <c r="B41" s="9">
        <v>48143</v>
      </c>
      <c r="C41" s="8" t="s">
        <v>225</v>
      </c>
      <c r="D41" s="8" t="s">
        <v>226</v>
      </c>
      <c r="E41" s="8" t="s">
        <v>227</v>
      </c>
      <c r="F41" s="8" t="s">
        <v>228</v>
      </c>
      <c r="G41" s="9" t="s">
        <v>76</v>
      </c>
      <c r="H41" s="8" t="s">
        <v>34</v>
      </c>
      <c r="I41" s="8" t="s">
        <v>229</v>
      </c>
      <c r="J41" s="10"/>
      <c r="K41" s="9" t="s">
        <v>135</v>
      </c>
      <c r="L41" s="11" t="s">
        <v>28</v>
      </c>
      <c r="M41" s="12" t="s">
        <v>118</v>
      </c>
      <c r="N41" s="12" t="s">
        <v>118</v>
      </c>
      <c r="O41" s="13">
        <v>240</v>
      </c>
      <c r="P41" s="8" t="s">
        <v>87</v>
      </c>
      <c r="Q41" s="8" t="s">
        <v>97</v>
      </c>
      <c r="R41" s="16" t="b">
        <v>1</v>
      </c>
      <c r="S41" s="16"/>
      <c r="T41" s="15" t="e">
        <f t="shared" ca="1" si="0"/>
        <v>#NAME?</v>
      </c>
      <c r="U41" s="16"/>
    </row>
    <row r="42" spans="1:21" ht="81" customHeight="1">
      <c r="A42" s="6">
        <v>45952.152407407404</v>
      </c>
      <c r="B42" s="9">
        <v>48130</v>
      </c>
      <c r="C42" s="8" t="s">
        <v>230</v>
      </c>
      <c r="D42" s="8" t="s">
        <v>231</v>
      </c>
      <c r="E42" s="8" t="s">
        <v>232</v>
      </c>
      <c r="F42" s="8" t="s">
        <v>233</v>
      </c>
      <c r="G42" s="9" t="s">
        <v>76</v>
      </c>
      <c r="H42" s="8" t="s">
        <v>49</v>
      </c>
      <c r="I42" s="8" t="s">
        <v>234</v>
      </c>
      <c r="J42" s="10"/>
      <c r="K42" s="9" t="s">
        <v>135</v>
      </c>
      <c r="L42" s="11" t="s">
        <v>28</v>
      </c>
      <c r="M42" s="12" t="s">
        <v>118</v>
      </c>
      <c r="N42" s="12" t="s">
        <v>118</v>
      </c>
      <c r="O42" s="13">
        <v>240</v>
      </c>
      <c r="P42" s="8" t="s">
        <v>87</v>
      </c>
      <c r="Q42" s="8" t="s">
        <v>97</v>
      </c>
      <c r="R42" s="14" t="b">
        <v>1</v>
      </c>
      <c r="S42" s="14"/>
      <c r="T42" s="15" t="e">
        <f t="shared" ca="1" si="0"/>
        <v>#NAME?</v>
      </c>
      <c r="U42" s="14"/>
    </row>
    <row r="43" spans="1:21" ht="81" customHeight="1">
      <c r="A43" s="6">
        <v>45952.41002314815</v>
      </c>
      <c r="B43" s="9">
        <v>48128</v>
      </c>
      <c r="C43" s="9" t="s">
        <v>235</v>
      </c>
      <c r="D43" s="8" t="s">
        <v>236</v>
      </c>
      <c r="E43" s="8" t="s">
        <v>237</v>
      </c>
      <c r="F43" s="8" t="s">
        <v>238</v>
      </c>
      <c r="G43" s="9" t="s">
        <v>76</v>
      </c>
      <c r="H43" s="8" t="s">
        <v>77</v>
      </c>
      <c r="I43" s="8" t="s">
        <v>239</v>
      </c>
      <c r="J43" s="10"/>
      <c r="K43" s="9" t="s">
        <v>135</v>
      </c>
      <c r="L43" s="11" t="s">
        <v>28</v>
      </c>
      <c r="M43" s="12" t="s">
        <v>118</v>
      </c>
      <c r="N43" s="12" t="s">
        <v>118</v>
      </c>
      <c r="O43" s="13">
        <v>240</v>
      </c>
      <c r="P43" s="8" t="s">
        <v>87</v>
      </c>
      <c r="Q43" s="8" t="s">
        <v>97</v>
      </c>
      <c r="R43" s="16" t="b">
        <v>1</v>
      </c>
      <c r="S43" s="16"/>
      <c r="T43" s="15" t="e">
        <f t="shared" ca="1" si="0"/>
        <v>#NAME?</v>
      </c>
      <c r="U43" s="16"/>
    </row>
    <row r="44" spans="1:21" ht="81" customHeight="1">
      <c r="A44" s="6">
        <v>45952.42528935185</v>
      </c>
      <c r="B44" s="9">
        <v>48129</v>
      </c>
      <c r="C44" s="8" t="s">
        <v>240</v>
      </c>
      <c r="D44" s="23" t="s">
        <v>241</v>
      </c>
      <c r="E44" s="23" t="s">
        <v>242</v>
      </c>
      <c r="F44" s="8" t="s">
        <v>243</v>
      </c>
      <c r="G44" s="9" t="s">
        <v>76</v>
      </c>
      <c r="H44" s="8" t="s">
        <v>77</v>
      </c>
      <c r="I44" s="8" t="s">
        <v>244</v>
      </c>
      <c r="J44" s="10"/>
      <c r="K44" s="9" t="s">
        <v>27</v>
      </c>
      <c r="L44" s="11" t="s">
        <v>28</v>
      </c>
      <c r="M44" s="12" t="s">
        <v>29</v>
      </c>
      <c r="N44" s="12" t="s">
        <v>29</v>
      </c>
      <c r="O44" s="13">
        <v>205</v>
      </c>
      <c r="P44" s="8" t="s">
        <v>87</v>
      </c>
      <c r="Q44" s="8" t="s">
        <v>97</v>
      </c>
      <c r="R44" s="14" t="b">
        <v>1</v>
      </c>
      <c r="S44" s="14"/>
      <c r="T44" s="15" t="e">
        <f t="shared" ca="1" si="0"/>
        <v>#NAME?</v>
      </c>
      <c r="U44" s="14"/>
    </row>
    <row r="45" spans="1:21" ht="81" customHeight="1">
      <c r="A45" s="6">
        <v>45952.559513888889</v>
      </c>
      <c r="B45" s="25">
        <v>48131</v>
      </c>
      <c r="C45" s="8" t="s">
        <v>245</v>
      </c>
      <c r="D45" s="8" t="s">
        <v>246</v>
      </c>
      <c r="E45" s="23" t="s">
        <v>247</v>
      </c>
      <c r="F45" s="8" t="s">
        <v>248</v>
      </c>
      <c r="G45" s="9" t="s">
        <v>76</v>
      </c>
      <c r="H45" s="8" t="s">
        <v>49</v>
      </c>
      <c r="I45" s="8" t="s">
        <v>249</v>
      </c>
      <c r="J45" s="10"/>
      <c r="K45" s="25" t="s">
        <v>135</v>
      </c>
      <c r="L45" s="11" t="s">
        <v>28</v>
      </c>
      <c r="M45" s="12" t="s">
        <v>118</v>
      </c>
      <c r="N45" s="12" t="s">
        <v>118</v>
      </c>
      <c r="O45" s="13">
        <v>240</v>
      </c>
      <c r="P45" s="25" t="s">
        <v>87</v>
      </c>
      <c r="Q45" s="25" t="s">
        <v>97</v>
      </c>
      <c r="R45" s="26" t="b">
        <v>1</v>
      </c>
      <c r="S45" s="16"/>
      <c r="T45" s="15" t="e">
        <f t="shared" ca="1" si="0"/>
        <v>#NAME?</v>
      </c>
      <c r="U45" s="16"/>
    </row>
    <row r="46" spans="1:21" ht="81" customHeight="1">
      <c r="A46" s="6">
        <v>45952.562581018516</v>
      </c>
      <c r="C46" s="8" t="s">
        <v>245</v>
      </c>
      <c r="D46" s="8" t="s">
        <v>250</v>
      </c>
      <c r="E46" s="8" t="s">
        <v>251</v>
      </c>
      <c r="F46" s="8" t="s">
        <v>252</v>
      </c>
      <c r="G46" s="9" t="s">
        <v>76</v>
      </c>
      <c r="H46" s="8" t="s">
        <v>253</v>
      </c>
      <c r="I46" s="8" t="s">
        <v>254</v>
      </c>
      <c r="J46" s="10"/>
      <c r="K46" s="25" t="s">
        <v>135</v>
      </c>
      <c r="L46" s="11" t="s">
        <v>28</v>
      </c>
      <c r="M46" s="12" t="s">
        <v>118</v>
      </c>
      <c r="N46" s="12" t="s">
        <v>118</v>
      </c>
      <c r="O46" s="13">
        <v>240</v>
      </c>
      <c r="S46" s="14"/>
      <c r="T46" s="15" t="e">
        <f t="shared" ca="1" si="0"/>
        <v>#NAME?</v>
      </c>
      <c r="U46" s="14"/>
    </row>
    <row r="47" spans="1:21" ht="81" customHeight="1">
      <c r="A47" s="6">
        <v>45953.590763888889</v>
      </c>
      <c r="C47" s="8" t="s">
        <v>255</v>
      </c>
      <c r="D47" s="8" t="s">
        <v>256</v>
      </c>
      <c r="E47" s="8" t="s">
        <v>257</v>
      </c>
      <c r="F47" s="8" t="s">
        <v>258</v>
      </c>
      <c r="G47" s="9" t="s">
        <v>76</v>
      </c>
      <c r="H47" s="8" t="s">
        <v>77</v>
      </c>
      <c r="I47" s="8" t="s">
        <v>259</v>
      </c>
      <c r="J47" s="10"/>
      <c r="K47" s="8" t="s">
        <v>27</v>
      </c>
      <c r="L47" s="11" t="s">
        <v>28</v>
      </c>
      <c r="M47" s="12" t="s">
        <v>29</v>
      </c>
      <c r="N47" s="12" t="s">
        <v>29</v>
      </c>
      <c r="O47" s="13"/>
      <c r="P47" s="8"/>
      <c r="Q47" s="8"/>
      <c r="R47" s="16" t="b">
        <v>0</v>
      </c>
      <c r="S47" s="16"/>
      <c r="T47" s="15" t="e">
        <f t="shared" ca="1" si="0"/>
        <v>#NAME?</v>
      </c>
      <c r="U47" s="16"/>
    </row>
    <row r="48" spans="1:21" ht="81" customHeight="1">
      <c r="A48" s="6">
        <v>45953.591354166667</v>
      </c>
      <c r="C48" s="8" t="s">
        <v>255</v>
      </c>
      <c r="D48" s="8" t="s">
        <v>260</v>
      </c>
      <c r="E48" s="22" t="s">
        <v>261</v>
      </c>
      <c r="F48" s="8" t="s">
        <v>258</v>
      </c>
      <c r="G48" s="9" t="s">
        <v>76</v>
      </c>
      <c r="H48" s="8" t="s">
        <v>49</v>
      </c>
      <c r="I48" s="8" t="s">
        <v>262</v>
      </c>
      <c r="J48" s="10"/>
      <c r="K48" s="8" t="s">
        <v>27</v>
      </c>
      <c r="L48" s="11" t="s">
        <v>28</v>
      </c>
      <c r="M48" s="12" t="s">
        <v>29</v>
      </c>
      <c r="N48" s="12" t="s">
        <v>29</v>
      </c>
      <c r="O48" s="13"/>
      <c r="P48" s="8"/>
      <c r="Q48" s="8"/>
      <c r="R48" s="14" t="b">
        <v>0</v>
      </c>
      <c r="S48" s="14"/>
      <c r="T48" s="15" t="e">
        <f t="shared" ca="1" si="0"/>
        <v>#NAME?</v>
      </c>
      <c r="U48" s="14"/>
    </row>
    <row r="49" spans="1:21" ht="81" customHeight="1">
      <c r="A49" s="6">
        <v>45953.591550925928</v>
      </c>
      <c r="C49" s="8" t="s">
        <v>263</v>
      </c>
      <c r="D49" s="8" t="s">
        <v>264</v>
      </c>
      <c r="E49" s="8" t="s">
        <v>265</v>
      </c>
      <c r="F49" s="8" t="s">
        <v>266</v>
      </c>
      <c r="G49" s="9" t="s">
        <v>76</v>
      </c>
      <c r="H49" s="8" t="s">
        <v>77</v>
      </c>
      <c r="I49" s="8" t="s">
        <v>267</v>
      </c>
      <c r="J49" s="10"/>
      <c r="K49" s="8" t="s">
        <v>27</v>
      </c>
      <c r="L49" s="11" t="s">
        <v>28</v>
      </c>
      <c r="M49" s="12" t="s">
        <v>29</v>
      </c>
      <c r="N49" s="12" t="s">
        <v>29</v>
      </c>
      <c r="O49" s="13"/>
      <c r="P49" s="8"/>
      <c r="Q49" s="8"/>
      <c r="R49" s="16" t="b">
        <v>0</v>
      </c>
      <c r="S49" s="16"/>
      <c r="T49" s="15" t="e">
        <f t="shared" ca="1" si="0"/>
        <v>#NAME?</v>
      </c>
      <c r="U49" s="16"/>
    </row>
    <row r="50" spans="1:21" ht="81" customHeight="1">
      <c r="A50" s="6">
        <v>45953.592106481483</v>
      </c>
      <c r="C50" s="8" t="s">
        <v>268</v>
      </c>
      <c r="D50" s="8" t="s">
        <v>269</v>
      </c>
      <c r="E50" s="8" t="s">
        <v>270</v>
      </c>
      <c r="F50" s="8" t="s">
        <v>266</v>
      </c>
      <c r="G50" s="9" t="s">
        <v>76</v>
      </c>
      <c r="H50" s="8" t="s">
        <v>77</v>
      </c>
      <c r="I50" s="8" t="s">
        <v>271</v>
      </c>
      <c r="J50" s="10"/>
      <c r="K50" s="8" t="s">
        <v>27</v>
      </c>
      <c r="L50" s="11" t="s">
        <v>28</v>
      </c>
      <c r="M50" s="12" t="s">
        <v>29</v>
      </c>
      <c r="N50" s="12" t="s">
        <v>29</v>
      </c>
      <c r="O50" s="13"/>
      <c r="P50" s="8"/>
      <c r="Q50" s="8"/>
      <c r="R50" s="14" t="b">
        <v>0</v>
      </c>
      <c r="S50" s="14"/>
      <c r="T50" s="15" t="e">
        <f t="shared" ca="1" si="0"/>
        <v>#NAME?</v>
      </c>
      <c r="U50" s="14"/>
    </row>
    <row r="51" spans="1:21" ht="81" customHeight="1">
      <c r="A51" s="6">
        <v>45953.603449074071</v>
      </c>
      <c r="B51" s="9">
        <v>48141</v>
      </c>
      <c r="C51" s="8" t="s">
        <v>272</v>
      </c>
      <c r="D51" s="8" t="s">
        <v>273</v>
      </c>
      <c r="E51" s="8" t="s">
        <v>274</v>
      </c>
      <c r="F51" s="8" t="s">
        <v>275</v>
      </c>
      <c r="G51" s="9" t="s">
        <v>40</v>
      </c>
      <c r="H51" s="8" t="s">
        <v>276</v>
      </c>
      <c r="I51" s="8" t="s">
        <v>277</v>
      </c>
      <c r="J51" s="10"/>
      <c r="K51" s="8" t="s">
        <v>27</v>
      </c>
      <c r="L51" s="11" t="s">
        <v>28</v>
      </c>
      <c r="M51" s="12" t="s">
        <v>118</v>
      </c>
      <c r="N51" s="12" t="s">
        <v>29</v>
      </c>
      <c r="O51" s="13">
        <v>205</v>
      </c>
      <c r="P51" s="8" t="s">
        <v>87</v>
      </c>
      <c r="Q51" s="8" t="s">
        <v>97</v>
      </c>
      <c r="R51" s="16" t="b">
        <v>1</v>
      </c>
      <c r="S51" s="16"/>
      <c r="T51" s="15" t="e">
        <f t="shared" ca="1" si="0"/>
        <v>#NAME?</v>
      </c>
      <c r="U51" s="16"/>
    </row>
    <row r="52" spans="1:21" ht="81" customHeight="1">
      <c r="A52" s="6">
        <v>45953.634340277778</v>
      </c>
      <c r="B52" s="9">
        <v>48142</v>
      </c>
      <c r="C52" s="8" t="s">
        <v>278</v>
      </c>
      <c r="D52" s="8" t="s">
        <v>279</v>
      </c>
      <c r="E52" s="8" t="s">
        <v>280</v>
      </c>
      <c r="F52" s="8" t="s">
        <v>281</v>
      </c>
      <c r="G52" s="9" t="s">
        <v>40</v>
      </c>
      <c r="H52" s="8" t="s">
        <v>276</v>
      </c>
      <c r="I52" s="8" t="s">
        <v>282</v>
      </c>
      <c r="J52" s="10"/>
      <c r="K52" s="8" t="s">
        <v>27</v>
      </c>
      <c r="L52" s="11" t="s">
        <v>28</v>
      </c>
      <c r="M52" s="12" t="s">
        <v>118</v>
      </c>
      <c r="N52" s="12" t="s">
        <v>29</v>
      </c>
      <c r="O52" s="13">
        <v>205</v>
      </c>
      <c r="P52" s="8" t="s">
        <v>87</v>
      </c>
      <c r="Q52" s="8" t="s">
        <v>97</v>
      </c>
      <c r="R52" s="14" t="b">
        <v>1</v>
      </c>
      <c r="S52" s="14"/>
      <c r="T52" s="15" t="e">
        <f t="shared" ca="1" si="0"/>
        <v>#NAME?</v>
      </c>
      <c r="U52" s="14"/>
    </row>
    <row r="53" spans="1:21" ht="81" customHeight="1">
      <c r="A53" s="6">
        <v>45956.888067129628</v>
      </c>
      <c r="B53" s="9">
        <v>48144</v>
      </c>
      <c r="C53" s="8" t="s">
        <v>278</v>
      </c>
      <c r="D53" s="8" t="s">
        <v>283</v>
      </c>
      <c r="E53" s="8" t="s">
        <v>284</v>
      </c>
      <c r="F53" s="8" t="s">
        <v>285</v>
      </c>
      <c r="G53" s="9" t="s">
        <v>76</v>
      </c>
      <c r="H53" s="8" t="s">
        <v>49</v>
      </c>
      <c r="I53" s="8" t="s">
        <v>286</v>
      </c>
      <c r="J53" s="10"/>
      <c r="K53" s="8" t="s">
        <v>135</v>
      </c>
      <c r="L53" s="11" t="s">
        <v>28</v>
      </c>
      <c r="M53" s="12" t="s">
        <v>118</v>
      </c>
      <c r="N53" s="12" t="s">
        <v>118</v>
      </c>
      <c r="O53" s="13">
        <v>240</v>
      </c>
      <c r="P53" s="8" t="s">
        <v>87</v>
      </c>
      <c r="Q53" s="8" t="s">
        <v>97</v>
      </c>
      <c r="R53" s="16" t="b">
        <v>1</v>
      </c>
      <c r="S53" s="16"/>
      <c r="T53" s="15" t="e">
        <f t="shared" ca="1" si="0"/>
        <v>#NAME?</v>
      </c>
      <c r="U53" s="16"/>
    </row>
    <row r="54" spans="1:21" ht="81" customHeight="1">
      <c r="A54" s="6">
        <v>45957.352048611108</v>
      </c>
      <c r="B54" s="9">
        <v>48146</v>
      </c>
      <c r="C54" s="8" t="s">
        <v>287</v>
      </c>
      <c r="D54" s="8" t="s">
        <v>288</v>
      </c>
      <c r="E54" s="8" t="s">
        <v>289</v>
      </c>
      <c r="F54" s="8" t="s">
        <v>290</v>
      </c>
      <c r="G54" s="9" t="s">
        <v>40</v>
      </c>
      <c r="H54" s="8" t="s">
        <v>34</v>
      </c>
      <c r="I54" s="8" t="s">
        <v>291</v>
      </c>
      <c r="J54" s="10"/>
      <c r="K54" s="8" t="s">
        <v>27</v>
      </c>
      <c r="L54" s="11" t="s">
        <v>28</v>
      </c>
      <c r="M54" s="12" t="s">
        <v>118</v>
      </c>
      <c r="N54" s="12" t="s">
        <v>29</v>
      </c>
      <c r="O54" s="13">
        <v>205</v>
      </c>
      <c r="P54" s="8" t="s">
        <v>87</v>
      </c>
      <c r="Q54" s="8" t="s">
        <v>88</v>
      </c>
      <c r="R54" s="14" t="b">
        <v>1</v>
      </c>
      <c r="S54" s="14"/>
      <c r="T54" s="15" t="e">
        <f t="shared" ca="1" si="0"/>
        <v>#NAME?</v>
      </c>
      <c r="U54" s="14"/>
    </row>
    <row r="55" spans="1:21" ht="81" customHeight="1">
      <c r="A55" s="6">
        <v>45957.35224537037</v>
      </c>
      <c r="B55" s="9">
        <v>48147</v>
      </c>
      <c r="C55" s="8" t="s">
        <v>292</v>
      </c>
      <c r="D55" s="8" t="s">
        <v>293</v>
      </c>
      <c r="E55" s="8" t="s">
        <v>294</v>
      </c>
      <c r="F55" s="8" t="s">
        <v>290</v>
      </c>
      <c r="G55" s="9" t="s">
        <v>40</v>
      </c>
      <c r="H55" s="8" t="s">
        <v>34</v>
      </c>
      <c r="I55" s="8" t="s">
        <v>295</v>
      </c>
      <c r="J55" s="10"/>
      <c r="K55" s="8" t="s">
        <v>27</v>
      </c>
      <c r="L55" s="11" t="s">
        <v>28</v>
      </c>
      <c r="M55" s="12" t="s">
        <v>118</v>
      </c>
      <c r="N55" s="12" t="s">
        <v>29</v>
      </c>
      <c r="O55" s="13">
        <v>205</v>
      </c>
      <c r="P55" s="8" t="s">
        <v>87</v>
      </c>
      <c r="Q55" s="8" t="s">
        <v>296</v>
      </c>
      <c r="R55" s="16" t="b">
        <v>1</v>
      </c>
      <c r="S55" s="16"/>
      <c r="T55" s="15" t="e">
        <f t="shared" ca="1" si="0"/>
        <v>#NAME?</v>
      </c>
      <c r="U55" s="16"/>
    </row>
    <row r="56" spans="1:21" ht="81" customHeight="1">
      <c r="A56" s="6">
        <v>45957.352766203701</v>
      </c>
      <c r="B56" s="9">
        <v>48148</v>
      </c>
      <c r="C56" s="8" t="s">
        <v>297</v>
      </c>
      <c r="D56" s="8" t="s">
        <v>298</v>
      </c>
      <c r="E56" s="8" t="s">
        <v>299</v>
      </c>
      <c r="F56" s="8" t="s">
        <v>290</v>
      </c>
      <c r="G56" s="9" t="s">
        <v>40</v>
      </c>
      <c r="H56" s="8" t="s">
        <v>34</v>
      </c>
      <c r="I56" s="8" t="s">
        <v>300</v>
      </c>
      <c r="J56" s="10"/>
      <c r="K56" s="8" t="s">
        <v>27</v>
      </c>
      <c r="L56" s="11" t="s">
        <v>28</v>
      </c>
      <c r="M56" s="12" t="s">
        <v>118</v>
      </c>
      <c r="N56" s="12" t="s">
        <v>29</v>
      </c>
      <c r="O56" s="13">
        <v>205</v>
      </c>
      <c r="P56" s="8" t="s">
        <v>87</v>
      </c>
      <c r="Q56" s="8" t="s">
        <v>296</v>
      </c>
      <c r="R56" s="14" t="b">
        <v>1</v>
      </c>
      <c r="S56" s="14"/>
      <c r="T56" s="15" t="e">
        <f t="shared" ca="1" si="0"/>
        <v>#NAME?</v>
      </c>
      <c r="U56" s="14"/>
    </row>
    <row r="57" spans="1:21" ht="81" customHeight="1">
      <c r="A57" s="6">
        <v>45957.587291666663</v>
      </c>
      <c r="B57" s="25">
        <v>48150</v>
      </c>
      <c r="C57" s="8" t="s">
        <v>301</v>
      </c>
      <c r="D57" s="8" t="s">
        <v>302</v>
      </c>
      <c r="E57" s="8" t="s">
        <v>303</v>
      </c>
      <c r="F57" s="8" t="s">
        <v>290</v>
      </c>
      <c r="G57" s="9" t="s">
        <v>24</v>
      </c>
      <c r="H57" s="8" t="s">
        <v>128</v>
      </c>
      <c r="I57" s="8" t="s">
        <v>304</v>
      </c>
      <c r="J57" s="10"/>
      <c r="K57" s="25" t="s">
        <v>27</v>
      </c>
      <c r="L57" s="11" t="s">
        <v>28</v>
      </c>
      <c r="M57" s="12" t="s">
        <v>118</v>
      </c>
      <c r="N57" s="12" t="s">
        <v>29</v>
      </c>
      <c r="O57" s="13">
        <v>205</v>
      </c>
      <c r="P57" s="25" t="s">
        <v>87</v>
      </c>
      <c r="Q57" s="25" t="s">
        <v>97</v>
      </c>
      <c r="R57" s="16" t="b">
        <v>1</v>
      </c>
      <c r="S57" s="16"/>
      <c r="T57" s="15" t="e">
        <f t="shared" ca="1" si="0"/>
        <v>#NAME?</v>
      </c>
      <c r="U57" s="16"/>
    </row>
    <row r="58" spans="1:21" ht="81" customHeight="1">
      <c r="A58" s="6">
        <v>45957.587291666663</v>
      </c>
      <c r="C58" s="8" t="s">
        <v>305</v>
      </c>
      <c r="D58" s="8" t="s">
        <v>306</v>
      </c>
      <c r="E58" s="8" t="s">
        <v>307</v>
      </c>
      <c r="F58" s="8" t="s">
        <v>290</v>
      </c>
      <c r="G58" s="9" t="s">
        <v>24</v>
      </c>
      <c r="H58" s="8" t="s">
        <v>49</v>
      </c>
      <c r="I58" s="8" t="s">
        <v>308</v>
      </c>
      <c r="J58" s="10"/>
      <c r="K58" s="25" t="s">
        <v>27</v>
      </c>
      <c r="L58" s="11" t="s">
        <v>28</v>
      </c>
      <c r="M58" s="12" t="s">
        <v>118</v>
      </c>
      <c r="N58" s="12" t="s">
        <v>29</v>
      </c>
      <c r="O58" s="13">
        <v>205</v>
      </c>
      <c r="S58" s="14"/>
      <c r="T58" s="15" t="e">
        <f t="shared" ca="1" si="0"/>
        <v>#NAME?</v>
      </c>
      <c r="U58" s="14"/>
    </row>
    <row r="59" spans="1:21" ht="81" customHeight="1">
      <c r="A59" s="6">
        <v>45957.416828703703</v>
      </c>
      <c r="B59" s="25">
        <v>48149</v>
      </c>
      <c r="C59" s="8" t="s">
        <v>309</v>
      </c>
      <c r="D59" s="8" t="s">
        <v>310</v>
      </c>
      <c r="E59" s="8" t="s">
        <v>311</v>
      </c>
      <c r="F59" s="8" t="s">
        <v>290</v>
      </c>
      <c r="G59" s="9" t="s">
        <v>76</v>
      </c>
      <c r="H59" s="8" t="s">
        <v>34</v>
      </c>
      <c r="I59" s="8" t="s">
        <v>312</v>
      </c>
      <c r="J59" s="20"/>
      <c r="K59" s="25" t="s">
        <v>27</v>
      </c>
      <c r="L59" s="11" t="s">
        <v>28</v>
      </c>
      <c r="M59" s="12" t="s">
        <v>118</v>
      </c>
      <c r="N59" s="12" t="s">
        <v>29</v>
      </c>
      <c r="O59" s="13">
        <v>205</v>
      </c>
      <c r="P59" s="25" t="s">
        <v>87</v>
      </c>
      <c r="Q59" s="25" t="s">
        <v>88</v>
      </c>
      <c r="R59" s="16" t="b">
        <v>1</v>
      </c>
      <c r="S59" s="26" t="s">
        <v>313</v>
      </c>
      <c r="T59" s="15" t="e">
        <f t="shared" ca="1" si="0"/>
        <v>#NAME?</v>
      </c>
      <c r="U59" s="16" t="s">
        <v>314</v>
      </c>
    </row>
    <row r="60" spans="1:21" ht="81" customHeight="1">
      <c r="A60" s="6">
        <v>45957.416828703703</v>
      </c>
      <c r="C60" s="8" t="s">
        <v>315</v>
      </c>
      <c r="D60" s="8" t="s">
        <v>316</v>
      </c>
      <c r="E60" s="8" t="s">
        <v>317</v>
      </c>
      <c r="F60" s="8" t="s">
        <v>318</v>
      </c>
      <c r="G60" s="9" t="s">
        <v>76</v>
      </c>
      <c r="H60" s="8" t="s">
        <v>49</v>
      </c>
      <c r="I60" s="8" t="s">
        <v>319</v>
      </c>
      <c r="K60" s="25" t="s">
        <v>27</v>
      </c>
      <c r="L60" s="11" t="s">
        <v>28</v>
      </c>
      <c r="M60" s="12" t="s">
        <v>118</v>
      </c>
      <c r="N60" s="12" t="s">
        <v>29</v>
      </c>
      <c r="O60" s="13">
        <v>205</v>
      </c>
      <c r="T60" s="15" t="e">
        <f t="shared" ca="1" si="0"/>
        <v>#NAME?</v>
      </c>
      <c r="U60" s="14"/>
    </row>
    <row r="61" spans="1:21" ht="81" customHeight="1">
      <c r="A61" s="6">
        <v>45957.416828703703</v>
      </c>
      <c r="C61" s="8" t="s">
        <v>320</v>
      </c>
      <c r="D61" s="8" t="s">
        <v>321</v>
      </c>
      <c r="E61" s="8" t="s">
        <v>322</v>
      </c>
      <c r="F61" s="8" t="s">
        <v>323</v>
      </c>
      <c r="G61" s="9" t="s">
        <v>76</v>
      </c>
      <c r="H61" s="8" t="s">
        <v>34</v>
      </c>
      <c r="I61" s="8" t="s">
        <v>324</v>
      </c>
      <c r="K61" s="25" t="s">
        <v>27</v>
      </c>
      <c r="L61" s="11" t="s">
        <v>28</v>
      </c>
      <c r="M61" s="12" t="s">
        <v>118</v>
      </c>
      <c r="N61" s="12" t="s">
        <v>29</v>
      </c>
      <c r="O61" s="13">
        <v>205</v>
      </c>
      <c r="T61" s="15" t="e">
        <f t="shared" ca="1" si="0"/>
        <v>#NAME?</v>
      </c>
      <c r="U61" s="16"/>
    </row>
    <row r="62" spans="1:21" ht="81" customHeight="1">
      <c r="A62" s="6">
        <v>45957.416828703703</v>
      </c>
      <c r="C62" s="8" t="s">
        <v>325</v>
      </c>
      <c r="D62" s="8" t="s">
        <v>326</v>
      </c>
      <c r="E62" s="8" t="s">
        <v>327</v>
      </c>
      <c r="F62" s="23" t="s">
        <v>328</v>
      </c>
      <c r="G62" s="9" t="s">
        <v>76</v>
      </c>
      <c r="H62" s="8" t="s">
        <v>34</v>
      </c>
      <c r="I62" s="8" t="s">
        <v>329</v>
      </c>
      <c r="K62" s="25" t="s">
        <v>27</v>
      </c>
      <c r="L62" s="11" t="s">
        <v>28</v>
      </c>
      <c r="M62" s="12" t="s">
        <v>118</v>
      </c>
      <c r="N62" s="12" t="s">
        <v>29</v>
      </c>
      <c r="O62" s="13">
        <v>205</v>
      </c>
      <c r="T62" s="15" t="e">
        <f t="shared" ca="1" si="0"/>
        <v>#NAME?</v>
      </c>
      <c r="U62" s="14"/>
    </row>
    <row r="63" spans="1:21" ht="81" customHeight="1">
      <c r="A63" s="6">
        <v>45957.416828703703</v>
      </c>
      <c r="C63" s="8" t="s">
        <v>330</v>
      </c>
      <c r="D63" s="8" t="s">
        <v>331</v>
      </c>
      <c r="E63" s="8" t="s">
        <v>332</v>
      </c>
      <c r="F63" s="23" t="s">
        <v>328</v>
      </c>
      <c r="G63" s="9" t="s">
        <v>76</v>
      </c>
      <c r="H63" s="8" t="s">
        <v>34</v>
      </c>
      <c r="I63" s="8" t="s">
        <v>333</v>
      </c>
      <c r="K63" s="25" t="s">
        <v>27</v>
      </c>
      <c r="L63" s="11" t="s">
        <v>28</v>
      </c>
      <c r="M63" s="12" t="s">
        <v>118</v>
      </c>
      <c r="N63" s="12" t="s">
        <v>29</v>
      </c>
      <c r="O63" s="13">
        <v>205</v>
      </c>
      <c r="T63" s="15" t="e">
        <f t="shared" ca="1" si="0"/>
        <v>#NAME?</v>
      </c>
      <c r="U63" s="16"/>
    </row>
    <row r="64" spans="1:21" ht="81" customHeight="1">
      <c r="A64" s="6">
        <v>45957.416828703703</v>
      </c>
      <c r="C64" s="8" t="s">
        <v>334</v>
      </c>
      <c r="D64" s="8" t="s">
        <v>335</v>
      </c>
      <c r="E64" s="8" t="s">
        <v>336</v>
      </c>
      <c r="F64" s="23" t="s">
        <v>337</v>
      </c>
      <c r="G64" s="9" t="s">
        <v>76</v>
      </c>
      <c r="H64" s="8" t="s">
        <v>77</v>
      </c>
      <c r="I64" s="8" t="s">
        <v>338</v>
      </c>
      <c r="K64" s="25" t="s">
        <v>27</v>
      </c>
      <c r="L64" s="11" t="s">
        <v>28</v>
      </c>
      <c r="M64" s="12" t="s">
        <v>118</v>
      </c>
      <c r="N64" s="12" t="s">
        <v>29</v>
      </c>
      <c r="O64" s="13">
        <v>205</v>
      </c>
      <c r="T64" s="15" t="e">
        <f t="shared" ca="1" si="0"/>
        <v>#NAME?</v>
      </c>
      <c r="U64" s="14"/>
    </row>
    <row r="65" spans="1:39" ht="81" customHeight="1">
      <c r="A65" s="6">
        <v>45957.416828703703</v>
      </c>
      <c r="C65" s="8" t="s">
        <v>339</v>
      </c>
      <c r="D65" s="22" t="s">
        <v>340</v>
      </c>
      <c r="E65" s="8" t="s">
        <v>341</v>
      </c>
      <c r="F65" s="8" t="s">
        <v>342</v>
      </c>
      <c r="G65" s="9" t="s">
        <v>76</v>
      </c>
      <c r="H65" s="8" t="s">
        <v>34</v>
      </c>
      <c r="I65" s="8" t="s">
        <v>343</v>
      </c>
      <c r="K65" s="25" t="s">
        <v>27</v>
      </c>
      <c r="L65" s="11" t="s">
        <v>28</v>
      </c>
      <c r="M65" s="12" t="s">
        <v>118</v>
      </c>
      <c r="N65" s="12" t="s">
        <v>29</v>
      </c>
      <c r="O65" s="13">
        <v>205</v>
      </c>
      <c r="T65" s="15" t="e">
        <f t="shared" ca="1" si="0"/>
        <v>#NAME?</v>
      </c>
      <c r="U65" s="16"/>
    </row>
    <row r="66" spans="1:39" ht="81" customHeight="1">
      <c r="A66" s="6">
        <v>45957.416828703703</v>
      </c>
      <c r="C66" s="8" t="s">
        <v>344</v>
      </c>
      <c r="D66" s="8" t="s">
        <v>345</v>
      </c>
      <c r="E66" s="8" t="s">
        <v>346</v>
      </c>
      <c r="F66" s="8" t="s">
        <v>347</v>
      </c>
      <c r="G66" s="9" t="s">
        <v>76</v>
      </c>
      <c r="H66" s="8" t="s">
        <v>276</v>
      </c>
      <c r="I66" s="8" t="s">
        <v>348</v>
      </c>
      <c r="K66" s="25" t="s">
        <v>27</v>
      </c>
      <c r="L66" s="11" t="s">
        <v>28</v>
      </c>
      <c r="M66" s="12" t="s">
        <v>118</v>
      </c>
      <c r="N66" s="12" t="s">
        <v>29</v>
      </c>
      <c r="O66" s="13">
        <v>205</v>
      </c>
      <c r="T66" s="15" t="e">
        <f t="shared" ca="1" si="0"/>
        <v>#NAME?</v>
      </c>
      <c r="U66" s="14"/>
    </row>
    <row r="67" spans="1:39" ht="81" customHeight="1">
      <c r="A67" s="27">
        <v>45959.766284722224</v>
      </c>
      <c r="B67" s="23" t="s">
        <v>349</v>
      </c>
      <c r="C67" s="8" t="s">
        <v>350</v>
      </c>
      <c r="D67" s="8" t="s">
        <v>351</v>
      </c>
      <c r="E67" s="8" t="s">
        <v>352</v>
      </c>
      <c r="F67" s="8" t="s">
        <v>353</v>
      </c>
      <c r="G67" s="7" t="s">
        <v>40</v>
      </c>
      <c r="H67" s="23" t="s">
        <v>49</v>
      </c>
      <c r="I67" s="23" t="s">
        <v>354</v>
      </c>
      <c r="J67" s="28"/>
      <c r="K67" s="23" t="s">
        <v>27</v>
      </c>
      <c r="L67" s="29" t="s">
        <v>43</v>
      </c>
      <c r="M67" s="12" t="s">
        <v>29</v>
      </c>
      <c r="N67" s="12" t="s">
        <v>29</v>
      </c>
      <c r="O67" s="30" t="s">
        <v>355</v>
      </c>
      <c r="P67" s="23"/>
      <c r="Q67" s="23"/>
      <c r="R67" s="23"/>
      <c r="S67" s="23"/>
      <c r="T67" s="15" t="e">
        <f t="shared" ca="1" si="0"/>
        <v>#NAME?</v>
      </c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81" customHeight="1">
      <c r="A68" s="6">
        <v>45960.282534722224</v>
      </c>
      <c r="B68" s="9">
        <v>48153</v>
      </c>
      <c r="C68" s="8" t="s">
        <v>356</v>
      </c>
      <c r="D68" s="8" t="s">
        <v>357</v>
      </c>
      <c r="E68" s="8" t="s">
        <v>358</v>
      </c>
      <c r="F68" s="8" t="s">
        <v>359</v>
      </c>
      <c r="G68" s="9" t="s">
        <v>24</v>
      </c>
      <c r="H68" s="8" t="s">
        <v>34</v>
      </c>
      <c r="I68" s="8" t="s">
        <v>360</v>
      </c>
      <c r="J68" s="10"/>
      <c r="K68" s="8" t="s">
        <v>27</v>
      </c>
      <c r="L68" s="11" t="s">
        <v>28</v>
      </c>
      <c r="M68" s="12" t="s">
        <v>118</v>
      </c>
      <c r="N68" s="12" t="s">
        <v>29</v>
      </c>
      <c r="O68" s="13">
        <v>205</v>
      </c>
      <c r="P68" s="8" t="s">
        <v>87</v>
      </c>
      <c r="Q68" s="8" t="s">
        <v>97</v>
      </c>
      <c r="R68" s="14" t="b">
        <v>1</v>
      </c>
      <c r="S68" s="14" t="s">
        <v>361</v>
      </c>
      <c r="T68" s="15" t="e">
        <f t="shared" ca="1" si="0"/>
        <v>#NAME?</v>
      </c>
      <c r="U68" s="14"/>
    </row>
    <row r="69" spans="1:39" ht="81" customHeight="1">
      <c r="A69" s="6">
        <v>45960.438506944447</v>
      </c>
      <c r="B69" s="7">
        <v>48154</v>
      </c>
      <c r="C69" s="8" t="s">
        <v>356</v>
      </c>
      <c r="D69" s="8" t="s">
        <v>362</v>
      </c>
      <c r="E69" s="8" t="s">
        <v>363</v>
      </c>
      <c r="F69" s="8" t="s">
        <v>359</v>
      </c>
      <c r="G69" s="9" t="s">
        <v>40</v>
      </c>
      <c r="H69" s="8" t="s">
        <v>25</v>
      </c>
      <c r="I69" s="8" t="s">
        <v>364</v>
      </c>
      <c r="J69" s="10"/>
      <c r="K69" s="8" t="s">
        <v>27</v>
      </c>
      <c r="L69" s="11" t="s">
        <v>43</v>
      </c>
      <c r="M69" s="12" t="s">
        <v>29</v>
      </c>
      <c r="N69" s="12" t="s">
        <v>29</v>
      </c>
      <c r="O69" s="13">
        <v>615</v>
      </c>
      <c r="P69" s="8" t="s">
        <v>87</v>
      </c>
      <c r="Q69" s="8" t="s">
        <v>97</v>
      </c>
      <c r="R69" s="16" t="b">
        <v>1</v>
      </c>
      <c r="T69" s="15" t="e">
        <f t="shared" ca="1" si="0"/>
        <v>#NAME?</v>
      </c>
    </row>
    <row r="70" spans="1:39" ht="81" customHeight="1">
      <c r="A70" s="6"/>
      <c r="B70" s="7" t="s">
        <v>21</v>
      </c>
      <c r="C70" s="8" t="s">
        <v>356</v>
      </c>
      <c r="D70" s="8" t="s">
        <v>365</v>
      </c>
      <c r="E70" s="8" t="s">
        <v>366</v>
      </c>
      <c r="F70" s="8" t="s">
        <v>359</v>
      </c>
      <c r="G70" s="9" t="s">
        <v>40</v>
      </c>
      <c r="H70" s="8"/>
      <c r="I70" s="8"/>
      <c r="J70" s="10"/>
      <c r="K70" s="8" t="s">
        <v>27</v>
      </c>
      <c r="L70" s="8" t="s">
        <v>27</v>
      </c>
      <c r="M70" s="12" t="s">
        <v>29</v>
      </c>
      <c r="N70" s="12" t="s">
        <v>29</v>
      </c>
      <c r="O70" s="13" t="s">
        <v>355</v>
      </c>
      <c r="P70" s="8"/>
      <c r="Q70" s="8"/>
      <c r="R70" s="14" t="b">
        <v>0</v>
      </c>
      <c r="T70" s="15" t="e">
        <f t="shared" ca="1" si="0"/>
        <v>#NAME?</v>
      </c>
    </row>
    <row r="71" spans="1:39" ht="81" customHeight="1">
      <c r="A71" s="6">
        <v>45963.457615740743</v>
      </c>
      <c r="C71" s="8" t="s">
        <v>367</v>
      </c>
      <c r="D71" s="8" t="s">
        <v>368</v>
      </c>
      <c r="E71" s="8" t="s">
        <v>369</v>
      </c>
      <c r="F71" s="8" t="s">
        <v>359</v>
      </c>
      <c r="G71" s="9" t="s">
        <v>40</v>
      </c>
      <c r="H71" s="8" t="s">
        <v>72</v>
      </c>
      <c r="I71" s="8" t="s">
        <v>370</v>
      </c>
      <c r="J71" s="10"/>
      <c r="K71" s="8" t="s">
        <v>27</v>
      </c>
      <c r="L71" s="8" t="s">
        <v>27</v>
      </c>
      <c r="M71" s="12" t="s">
        <v>29</v>
      </c>
      <c r="N71" s="12" t="s">
        <v>29</v>
      </c>
      <c r="O71" s="13"/>
      <c r="P71" s="8"/>
      <c r="Q71" s="8"/>
      <c r="R71" s="16" t="b">
        <v>0</v>
      </c>
      <c r="T71" s="15" t="e">
        <f t="shared" ca="1" si="0"/>
        <v>#NAME?</v>
      </c>
    </row>
    <row r="72" spans="1:39" ht="81" customHeight="1">
      <c r="A72" s="6">
        <v>45964.937361111108</v>
      </c>
      <c r="C72" s="8" t="s">
        <v>371</v>
      </c>
      <c r="D72" s="8" t="s">
        <v>372</v>
      </c>
      <c r="E72" s="8" t="s">
        <v>373</v>
      </c>
      <c r="F72" s="8" t="s">
        <v>359</v>
      </c>
      <c r="G72" s="9" t="s">
        <v>40</v>
      </c>
      <c r="H72" s="8" t="s">
        <v>374</v>
      </c>
      <c r="I72" s="8" t="s">
        <v>375</v>
      </c>
      <c r="J72" s="10"/>
      <c r="K72" s="8" t="s">
        <v>43</v>
      </c>
      <c r="L72" s="8" t="s">
        <v>43</v>
      </c>
      <c r="M72" s="12" t="s">
        <v>29</v>
      </c>
      <c r="N72" s="12" t="s">
        <v>29</v>
      </c>
      <c r="O72" s="13"/>
      <c r="P72" s="8"/>
      <c r="Q72" s="8"/>
      <c r="R72" s="14" t="b">
        <v>0</v>
      </c>
      <c r="S72" s="14"/>
      <c r="T72" s="15" t="e">
        <f t="shared" ca="1" si="0"/>
        <v>#NAME?</v>
      </c>
      <c r="U72" s="14"/>
    </row>
    <row r="73" spans="1:39" ht="81" customHeight="1">
      <c r="A73" s="6">
        <v>45965.3122337963</v>
      </c>
      <c r="C73" s="8" t="s">
        <v>376</v>
      </c>
      <c r="D73" s="8" t="s">
        <v>377</v>
      </c>
      <c r="E73" s="8" t="s">
        <v>378</v>
      </c>
      <c r="F73" s="8" t="s">
        <v>379</v>
      </c>
      <c r="G73" s="9"/>
      <c r="H73" s="8" t="s">
        <v>151</v>
      </c>
      <c r="I73" s="8" t="s">
        <v>380</v>
      </c>
      <c r="J73" s="10"/>
      <c r="K73" s="8" t="s">
        <v>27</v>
      </c>
      <c r="L73" s="8" t="s">
        <v>27</v>
      </c>
      <c r="M73" s="12" t="s">
        <v>29</v>
      </c>
      <c r="N73" s="12" t="s">
        <v>29</v>
      </c>
      <c r="O73" s="13"/>
      <c r="P73" s="8"/>
      <c r="Q73" s="8"/>
      <c r="R73" s="16" t="b">
        <v>0</v>
      </c>
      <c r="S73" s="16"/>
      <c r="T73" s="15" t="e">
        <f t="shared" ca="1" si="0"/>
        <v>#NAME?</v>
      </c>
      <c r="U73" s="16"/>
    </row>
    <row r="74" spans="1:39" ht="81" customHeight="1">
      <c r="A74" s="6">
        <v>45967.467210648145</v>
      </c>
      <c r="C74" s="8" t="s">
        <v>381</v>
      </c>
      <c r="D74" s="8" t="s">
        <v>382</v>
      </c>
      <c r="E74" s="8" t="s">
        <v>383</v>
      </c>
      <c r="F74" s="8" t="s">
        <v>384</v>
      </c>
      <c r="G74" s="9" t="s">
        <v>24</v>
      </c>
      <c r="H74" s="8" t="s">
        <v>128</v>
      </c>
      <c r="I74" s="8" t="s">
        <v>385</v>
      </c>
      <c r="J74" s="10"/>
      <c r="K74" s="8" t="s">
        <v>27</v>
      </c>
      <c r="L74" s="8" t="s">
        <v>27</v>
      </c>
      <c r="M74" s="12" t="s">
        <v>29</v>
      </c>
      <c r="N74" s="12" t="s">
        <v>29</v>
      </c>
      <c r="O74" s="13"/>
      <c r="P74" s="8"/>
      <c r="Q74" s="8"/>
      <c r="R74" s="14" t="b">
        <v>0</v>
      </c>
      <c r="S74" s="14"/>
      <c r="T74" s="15" t="e">
        <f t="shared" ca="1" si="0"/>
        <v>#NAME?</v>
      </c>
      <c r="U74" s="14"/>
    </row>
    <row r="75" spans="1:39" ht="81" customHeight="1">
      <c r="A75" s="6">
        <v>45967.46769675926</v>
      </c>
      <c r="C75" s="8" t="s">
        <v>386</v>
      </c>
      <c r="D75" s="8" t="s">
        <v>382</v>
      </c>
      <c r="E75" s="8" t="s">
        <v>387</v>
      </c>
      <c r="F75" s="8" t="s">
        <v>384</v>
      </c>
      <c r="G75" s="9" t="s">
        <v>24</v>
      </c>
      <c r="H75" s="8" t="s">
        <v>49</v>
      </c>
      <c r="I75" s="8" t="s">
        <v>388</v>
      </c>
      <c r="J75" s="10"/>
      <c r="K75" s="8" t="s">
        <v>27</v>
      </c>
      <c r="L75" s="8" t="s">
        <v>27</v>
      </c>
      <c r="M75" s="12" t="s">
        <v>29</v>
      </c>
      <c r="N75" s="12" t="s">
        <v>29</v>
      </c>
      <c r="O75" s="13"/>
      <c r="P75" s="8"/>
      <c r="Q75" s="8"/>
      <c r="R75" s="16" t="b">
        <v>0</v>
      </c>
      <c r="T75" s="15" t="e">
        <f t="shared" ca="1" si="0"/>
        <v>#NAME?</v>
      </c>
    </row>
    <row r="76" spans="1:39" ht="81" customHeight="1">
      <c r="A76" s="6">
        <v>45967.468356481484</v>
      </c>
      <c r="C76" s="8" t="s">
        <v>389</v>
      </c>
      <c r="D76" s="8" t="s">
        <v>382</v>
      </c>
      <c r="E76" s="8" t="s">
        <v>390</v>
      </c>
      <c r="F76" s="8" t="s">
        <v>391</v>
      </c>
      <c r="G76" s="9" t="s">
        <v>24</v>
      </c>
      <c r="H76" s="8" t="s">
        <v>34</v>
      </c>
      <c r="I76" s="8" t="s">
        <v>392</v>
      </c>
      <c r="J76" s="10"/>
      <c r="K76" s="8" t="s">
        <v>27</v>
      </c>
      <c r="L76" s="8" t="s">
        <v>27</v>
      </c>
      <c r="M76" s="12" t="s">
        <v>29</v>
      </c>
      <c r="N76" s="12" t="s">
        <v>29</v>
      </c>
      <c r="O76" s="13"/>
      <c r="P76" s="8"/>
      <c r="Q76" s="8"/>
      <c r="R76" s="14" t="b">
        <v>0</v>
      </c>
      <c r="S76" s="14"/>
      <c r="T76" s="15" t="e">
        <f t="shared" ca="1" si="0"/>
        <v>#NAME?</v>
      </c>
      <c r="U76" s="14"/>
    </row>
    <row r="77" spans="1:39" ht="81" customHeight="1">
      <c r="A77" s="6">
        <v>45967.469328703701</v>
      </c>
      <c r="C77" s="8" t="s">
        <v>389</v>
      </c>
      <c r="D77" s="8" t="s">
        <v>382</v>
      </c>
      <c r="E77" s="8" t="s">
        <v>393</v>
      </c>
      <c r="F77" s="8" t="s">
        <v>394</v>
      </c>
      <c r="G77" s="9" t="s">
        <v>48</v>
      </c>
      <c r="H77" s="8" t="s">
        <v>49</v>
      </c>
      <c r="I77" s="8" t="s">
        <v>395</v>
      </c>
      <c r="J77" s="10"/>
      <c r="K77" s="8" t="s">
        <v>27</v>
      </c>
      <c r="L77" s="8" t="s">
        <v>27</v>
      </c>
      <c r="M77" s="12" t="s">
        <v>29</v>
      </c>
      <c r="N77" s="12" t="s">
        <v>29</v>
      </c>
      <c r="O77" s="13"/>
      <c r="P77" s="8"/>
      <c r="Q77" s="8"/>
      <c r="R77" s="16" t="b">
        <v>0</v>
      </c>
      <c r="S77" s="16"/>
      <c r="T77" s="15" t="e">
        <f t="shared" ca="1" si="0"/>
        <v>#NAME?</v>
      </c>
      <c r="U77" s="16"/>
    </row>
    <row r="78" spans="1:39" ht="81" customHeight="1">
      <c r="A78" s="6">
        <v>45967.471678240741</v>
      </c>
      <c r="B78" s="9">
        <v>48132</v>
      </c>
      <c r="C78" s="8" t="s">
        <v>396</v>
      </c>
      <c r="D78" s="8" t="s">
        <v>397</v>
      </c>
      <c r="E78" s="8" t="s">
        <v>398</v>
      </c>
      <c r="F78" s="8" t="s">
        <v>394</v>
      </c>
      <c r="G78" s="9" t="s">
        <v>48</v>
      </c>
      <c r="H78" s="8" t="s">
        <v>49</v>
      </c>
      <c r="I78" s="8" t="s">
        <v>399</v>
      </c>
      <c r="J78" s="10"/>
      <c r="K78" s="8" t="s">
        <v>96</v>
      </c>
      <c r="L78" s="11" t="s">
        <v>28</v>
      </c>
      <c r="M78" s="12" t="s">
        <v>29</v>
      </c>
      <c r="N78" s="12" t="s">
        <v>29</v>
      </c>
      <c r="O78" s="13" t="s">
        <v>400</v>
      </c>
      <c r="P78" s="8" t="s">
        <v>87</v>
      </c>
      <c r="Q78" s="8"/>
      <c r="R78" s="14" t="b">
        <v>0</v>
      </c>
      <c r="S78" s="14"/>
      <c r="T78" s="15" t="e">
        <f t="shared" ca="1" si="0"/>
        <v>#NAME?</v>
      </c>
      <c r="U78" s="14" t="s">
        <v>401</v>
      </c>
    </row>
    <row r="79" spans="1:39" ht="81" customHeight="1">
      <c r="A79" s="6">
        <v>45967.602175925924</v>
      </c>
      <c r="B79" s="9">
        <v>48159</v>
      </c>
      <c r="C79" s="8" t="s">
        <v>389</v>
      </c>
      <c r="D79" s="8" t="s">
        <v>402</v>
      </c>
      <c r="E79" s="8" t="s">
        <v>403</v>
      </c>
      <c r="F79" s="8" t="s">
        <v>404</v>
      </c>
      <c r="G79" s="9"/>
      <c r="H79" s="8" t="s">
        <v>253</v>
      </c>
      <c r="I79" s="8" t="s">
        <v>405</v>
      </c>
      <c r="J79" s="10"/>
      <c r="K79" s="8" t="s">
        <v>27</v>
      </c>
      <c r="L79" s="8" t="s">
        <v>27</v>
      </c>
      <c r="M79" s="12" t="s">
        <v>29</v>
      </c>
      <c r="N79" s="12" t="s">
        <v>29</v>
      </c>
      <c r="O79" s="13">
        <v>205</v>
      </c>
      <c r="P79" s="8" t="s">
        <v>87</v>
      </c>
      <c r="Q79" s="8" t="s">
        <v>296</v>
      </c>
      <c r="R79" s="16" t="b">
        <v>1</v>
      </c>
      <c r="S79" s="16"/>
      <c r="T79" s="15" t="e">
        <f t="shared" ca="1" si="0"/>
        <v>#NAME?</v>
      </c>
      <c r="U79" s="16"/>
    </row>
    <row r="80" spans="1:39" ht="81" customHeight="1">
      <c r="A80" s="31">
        <v>45968.448182870372</v>
      </c>
      <c r="B80" s="22" t="s">
        <v>21</v>
      </c>
      <c r="C80" s="8" t="s">
        <v>389</v>
      </c>
      <c r="D80" s="8" t="s">
        <v>406</v>
      </c>
      <c r="E80" s="8" t="s">
        <v>407</v>
      </c>
      <c r="F80" s="8" t="s">
        <v>408</v>
      </c>
      <c r="G80" s="32"/>
      <c r="H80" s="22" t="s">
        <v>49</v>
      </c>
      <c r="I80" s="22" t="s">
        <v>409</v>
      </c>
      <c r="J80" s="33"/>
      <c r="K80" s="22" t="s">
        <v>27</v>
      </c>
      <c r="L80" s="8" t="s">
        <v>27</v>
      </c>
      <c r="M80" s="12" t="s">
        <v>29</v>
      </c>
      <c r="N80" s="12" t="s">
        <v>29</v>
      </c>
      <c r="O80" s="34"/>
      <c r="P80" s="22"/>
      <c r="Q80" s="22"/>
      <c r="R80" s="22" t="b">
        <v>0</v>
      </c>
      <c r="S80" s="22"/>
      <c r="T80" s="15" t="e">
        <f t="shared" ca="1" si="0"/>
        <v>#NAME?</v>
      </c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</row>
    <row r="81" spans="1:21" ht="81" customHeight="1">
      <c r="A81" s="6">
        <v>45968.460231481484</v>
      </c>
      <c r="B81" s="9">
        <v>48170</v>
      </c>
      <c r="C81" s="8" t="s">
        <v>410</v>
      </c>
      <c r="D81" s="8" t="s">
        <v>411</v>
      </c>
      <c r="E81" s="8" t="s">
        <v>412</v>
      </c>
      <c r="F81" s="8" t="s">
        <v>413</v>
      </c>
      <c r="G81" s="9"/>
      <c r="H81" s="8"/>
      <c r="I81" s="8"/>
      <c r="J81" s="10"/>
      <c r="K81" s="8" t="s">
        <v>96</v>
      </c>
      <c r="L81" s="11" t="s">
        <v>28</v>
      </c>
      <c r="M81" s="12" t="s">
        <v>29</v>
      </c>
      <c r="N81" s="12" t="s">
        <v>29</v>
      </c>
      <c r="O81" s="13">
        <v>205</v>
      </c>
      <c r="P81" s="8" t="s">
        <v>414</v>
      </c>
      <c r="Q81" s="8" t="s">
        <v>88</v>
      </c>
      <c r="R81" s="16" t="b">
        <v>0</v>
      </c>
      <c r="S81" s="16"/>
      <c r="T81" s="15" t="e">
        <f t="shared" ca="1" si="0"/>
        <v>#NAME?</v>
      </c>
      <c r="U81" s="16" t="s">
        <v>415</v>
      </c>
    </row>
    <row r="82" spans="1:21" ht="81" customHeight="1">
      <c r="A82" s="6"/>
      <c r="B82" s="9">
        <v>48170</v>
      </c>
      <c r="C82" s="8" t="s">
        <v>416</v>
      </c>
      <c r="D82" s="8" t="s">
        <v>417</v>
      </c>
      <c r="E82" s="8" t="s">
        <v>418</v>
      </c>
      <c r="F82" s="8" t="s">
        <v>419</v>
      </c>
      <c r="G82" s="9"/>
      <c r="H82" s="8"/>
      <c r="I82" s="8"/>
      <c r="J82" s="10"/>
      <c r="K82" s="8" t="s">
        <v>96</v>
      </c>
      <c r="L82" s="11" t="s">
        <v>28</v>
      </c>
      <c r="M82" s="12" t="s">
        <v>29</v>
      </c>
      <c r="N82" s="12" t="s">
        <v>29</v>
      </c>
      <c r="O82" s="13">
        <v>205</v>
      </c>
      <c r="P82" s="8" t="s">
        <v>414</v>
      </c>
      <c r="Q82" s="8" t="s">
        <v>88</v>
      </c>
      <c r="R82" s="14" t="b">
        <v>0</v>
      </c>
      <c r="S82" s="14"/>
      <c r="T82" s="15" t="e">
        <f t="shared" ca="1" si="0"/>
        <v>#NAME?</v>
      </c>
      <c r="U82" s="14"/>
    </row>
    <row r="83" spans="1:21" ht="81" customHeight="1">
      <c r="A83" s="6"/>
      <c r="B83" s="9">
        <v>48170</v>
      </c>
      <c r="C83" s="8" t="s">
        <v>420</v>
      </c>
      <c r="D83" s="8" t="s">
        <v>421</v>
      </c>
      <c r="E83" s="8" t="s">
        <v>422</v>
      </c>
      <c r="F83" s="8" t="s">
        <v>423</v>
      </c>
      <c r="G83" s="9"/>
      <c r="H83" s="8"/>
      <c r="I83" s="8"/>
      <c r="J83" s="10"/>
      <c r="K83" s="8" t="s">
        <v>96</v>
      </c>
      <c r="L83" s="11" t="s">
        <v>28</v>
      </c>
      <c r="M83" s="12" t="s">
        <v>29</v>
      </c>
      <c r="N83" s="12" t="s">
        <v>29</v>
      </c>
      <c r="O83" s="13">
        <v>205</v>
      </c>
      <c r="P83" s="8" t="s">
        <v>414</v>
      </c>
      <c r="Q83" s="8" t="s">
        <v>88</v>
      </c>
      <c r="R83" s="16" t="b">
        <v>0</v>
      </c>
      <c r="S83" s="16"/>
      <c r="T83" s="15" t="e">
        <f t="shared" ca="1" si="0"/>
        <v>#NAME?</v>
      </c>
      <c r="U83" s="16"/>
    </row>
    <row r="84" spans="1:21" ht="81" customHeight="1">
      <c r="A84" s="6"/>
      <c r="B84" s="9">
        <v>48170</v>
      </c>
      <c r="C84" s="8" t="s">
        <v>420</v>
      </c>
      <c r="D84" s="8" t="s">
        <v>424</v>
      </c>
      <c r="E84" s="8" t="s">
        <v>425</v>
      </c>
      <c r="F84" s="8" t="s">
        <v>426</v>
      </c>
      <c r="G84" s="9"/>
      <c r="H84" s="8"/>
      <c r="I84" s="8"/>
      <c r="J84" s="10"/>
      <c r="K84" s="8" t="s">
        <v>96</v>
      </c>
      <c r="L84" s="11" t="s">
        <v>28</v>
      </c>
      <c r="M84" s="12" t="s">
        <v>29</v>
      </c>
      <c r="N84" s="12" t="s">
        <v>29</v>
      </c>
      <c r="O84" s="13">
        <v>205</v>
      </c>
      <c r="P84" s="8" t="s">
        <v>414</v>
      </c>
      <c r="Q84" s="8" t="s">
        <v>88</v>
      </c>
      <c r="R84" s="14" t="b">
        <v>0</v>
      </c>
      <c r="S84" s="14"/>
      <c r="T84" s="15" t="e">
        <f t="shared" ca="1" si="0"/>
        <v>#NAME?</v>
      </c>
      <c r="U84" s="14"/>
    </row>
    <row r="85" spans="1:21" ht="81" customHeight="1">
      <c r="A85" s="6">
        <v>45968.531064814815</v>
      </c>
      <c r="C85" s="23" t="s">
        <v>427</v>
      </c>
      <c r="D85" s="8" t="s">
        <v>428</v>
      </c>
      <c r="E85" s="8" t="s">
        <v>429</v>
      </c>
      <c r="F85" s="8" t="s">
        <v>430</v>
      </c>
      <c r="G85" s="9" t="s">
        <v>24</v>
      </c>
      <c r="H85" s="8" t="s">
        <v>77</v>
      </c>
      <c r="I85" s="8" t="s">
        <v>431</v>
      </c>
      <c r="J85" s="10"/>
      <c r="K85" s="8" t="s">
        <v>96</v>
      </c>
      <c r="L85" s="11" t="s">
        <v>28</v>
      </c>
      <c r="M85" s="12" t="s">
        <v>29</v>
      </c>
      <c r="N85" s="12" t="s">
        <v>29</v>
      </c>
      <c r="O85" s="13"/>
      <c r="P85" s="8"/>
      <c r="Q85" s="8"/>
      <c r="R85" s="16" t="b">
        <v>0</v>
      </c>
      <c r="S85" s="16"/>
      <c r="T85" s="15" t="e">
        <f t="shared" ca="1" si="0"/>
        <v>#NAME?</v>
      </c>
      <c r="U85" s="16"/>
    </row>
    <row r="86" spans="1:21" ht="81" customHeight="1">
      <c r="A86" s="6">
        <v>45968.532650462963</v>
      </c>
      <c r="C86" s="8" t="s">
        <v>432</v>
      </c>
      <c r="D86" s="8" t="s">
        <v>433</v>
      </c>
      <c r="E86" s="8" t="s">
        <v>429</v>
      </c>
      <c r="F86" s="8" t="s">
        <v>434</v>
      </c>
      <c r="G86" s="9" t="s">
        <v>24</v>
      </c>
      <c r="H86" s="8" t="s">
        <v>49</v>
      </c>
      <c r="I86" s="8" t="s">
        <v>435</v>
      </c>
      <c r="J86" s="10"/>
      <c r="K86" s="8" t="s">
        <v>27</v>
      </c>
      <c r="L86" s="8" t="s">
        <v>27</v>
      </c>
      <c r="M86" s="12" t="s">
        <v>29</v>
      </c>
      <c r="N86" s="12" t="s">
        <v>29</v>
      </c>
      <c r="O86" s="13"/>
      <c r="P86" s="8"/>
      <c r="Q86" s="8"/>
      <c r="R86" s="14" t="b">
        <v>0</v>
      </c>
      <c r="S86" s="14"/>
      <c r="T86" s="15" t="e">
        <f t="shared" ca="1" si="0"/>
        <v>#NAME?</v>
      </c>
      <c r="U86" s="14"/>
    </row>
    <row r="87" spans="1:21" ht="81" customHeight="1">
      <c r="A87" s="6">
        <v>45968.610092592593</v>
      </c>
      <c r="C87" s="8" t="s">
        <v>436</v>
      </c>
      <c r="D87" s="8" t="s">
        <v>437</v>
      </c>
      <c r="E87" s="8" t="s">
        <v>438</v>
      </c>
      <c r="F87" s="8" t="s">
        <v>439</v>
      </c>
      <c r="G87" s="9" t="s">
        <v>48</v>
      </c>
      <c r="H87" s="8" t="s">
        <v>77</v>
      </c>
      <c r="I87" s="8" t="s">
        <v>440</v>
      </c>
      <c r="J87" s="10"/>
      <c r="K87" s="8" t="s">
        <v>27</v>
      </c>
      <c r="L87" s="8" t="s">
        <v>27</v>
      </c>
      <c r="M87" s="12" t="s">
        <v>29</v>
      </c>
      <c r="N87" s="12" t="s">
        <v>29</v>
      </c>
      <c r="P87" s="8"/>
      <c r="Q87" s="8"/>
      <c r="R87" s="16" t="b">
        <v>0</v>
      </c>
      <c r="S87" s="16"/>
      <c r="T87" s="15" t="e">
        <f t="shared" ca="1" si="0"/>
        <v>#NAME?</v>
      </c>
      <c r="U87" s="16"/>
    </row>
    <row r="88" spans="1:21" ht="81" customHeight="1">
      <c r="A88" s="6">
        <v>45968.640590277777</v>
      </c>
      <c r="B88" s="9">
        <v>48188</v>
      </c>
      <c r="C88" s="22" t="s">
        <v>441</v>
      </c>
      <c r="D88" s="8" t="s">
        <v>442</v>
      </c>
      <c r="E88" s="8" t="s">
        <v>443</v>
      </c>
      <c r="F88" s="8" t="s">
        <v>444</v>
      </c>
      <c r="G88" s="9" t="s">
        <v>48</v>
      </c>
      <c r="H88" s="8" t="s">
        <v>77</v>
      </c>
      <c r="I88" s="8" t="s">
        <v>445</v>
      </c>
      <c r="J88" s="10"/>
      <c r="K88" s="8" t="s">
        <v>96</v>
      </c>
      <c r="L88" s="11" t="s">
        <v>28</v>
      </c>
      <c r="M88" s="12" t="s">
        <v>29</v>
      </c>
      <c r="N88" s="12" t="s">
        <v>29</v>
      </c>
      <c r="O88" s="13">
        <v>205</v>
      </c>
      <c r="P88" s="8" t="s">
        <v>414</v>
      </c>
      <c r="Q88" s="8" t="s">
        <v>88</v>
      </c>
      <c r="R88" s="14" t="b">
        <v>0</v>
      </c>
      <c r="S88" s="14"/>
      <c r="T88" s="15" t="e">
        <f t="shared" ca="1" si="0"/>
        <v>#NAME?</v>
      </c>
      <c r="U88" s="14"/>
    </row>
    <row r="89" spans="1:21" ht="81" customHeight="1">
      <c r="A89" s="6">
        <v>45969.388298611113</v>
      </c>
      <c r="B89" s="9">
        <v>48224</v>
      </c>
      <c r="C89" s="8" t="s">
        <v>446</v>
      </c>
      <c r="D89" s="8" t="s">
        <v>447</v>
      </c>
      <c r="E89" s="8" t="s">
        <v>448</v>
      </c>
      <c r="F89" s="8" t="s">
        <v>449</v>
      </c>
      <c r="G89" s="9" t="s">
        <v>48</v>
      </c>
      <c r="H89" s="8" t="s">
        <v>77</v>
      </c>
      <c r="I89" s="8" t="s">
        <v>450</v>
      </c>
      <c r="J89" s="10"/>
      <c r="K89" s="8" t="s">
        <v>96</v>
      </c>
      <c r="L89" s="11" t="s">
        <v>28</v>
      </c>
      <c r="M89" s="12" t="s">
        <v>29</v>
      </c>
      <c r="N89" s="12" t="s">
        <v>29</v>
      </c>
      <c r="O89" s="13">
        <v>270</v>
      </c>
      <c r="P89" s="8" t="s">
        <v>414</v>
      </c>
      <c r="Q89" s="8" t="s">
        <v>88</v>
      </c>
      <c r="R89" s="16" t="b">
        <v>0</v>
      </c>
      <c r="S89" s="16"/>
      <c r="T89" s="15" t="e">
        <f t="shared" ca="1" si="0"/>
        <v>#NAME?</v>
      </c>
      <c r="U89" s="16"/>
    </row>
    <row r="90" spans="1:21" ht="81" customHeight="1">
      <c r="A90" s="6">
        <v>45969.463923611111</v>
      </c>
      <c r="C90" s="8" t="s">
        <v>451</v>
      </c>
      <c r="D90" s="8" t="s">
        <v>452</v>
      </c>
      <c r="E90" s="8" t="s">
        <v>453</v>
      </c>
      <c r="F90" s="8" t="s">
        <v>454</v>
      </c>
      <c r="G90" s="9" t="s">
        <v>48</v>
      </c>
      <c r="H90" s="8" t="s">
        <v>49</v>
      </c>
      <c r="I90" s="8" t="s">
        <v>455</v>
      </c>
      <c r="J90" s="10"/>
      <c r="K90" s="8" t="s">
        <v>27</v>
      </c>
      <c r="L90" s="8" t="s">
        <v>27</v>
      </c>
      <c r="M90" s="12" t="s">
        <v>29</v>
      </c>
      <c r="N90" s="12" t="s">
        <v>29</v>
      </c>
      <c r="O90" s="13"/>
      <c r="P90" s="8"/>
      <c r="Q90" s="8"/>
      <c r="R90" s="14" t="b">
        <v>0</v>
      </c>
      <c r="S90" s="14"/>
      <c r="T90" s="15" t="e">
        <f t="shared" ca="1" si="0"/>
        <v>#NAME?</v>
      </c>
      <c r="U90" s="14"/>
    </row>
    <row r="91" spans="1:21" ht="81" customHeight="1">
      <c r="A91" s="6">
        <v>45969.657071759262</v>
      </c>
      <c r="B91" s="8" t="s">
        <v>456</v>
      </c>
      <c r="C91" s="8" t="s">
        <v>457</v>
      </c>
      <c r="D91" s="8" t="s">
        <v>458</v>
      </c>
      <c r="E91" s="8" t="s">
        <v>459</v>
      </c>
      <c r="F91" s="8" t="s">
        <v>460</v>
      </c>
      <c r="G91" s="9" t="s">
        <v>24</v>
      </c>
      <c r="H91" s="8" t="s">
        <v>72</v>
      </c>
      <c r="I91" s="8" t="s">
        <v>461</v>
      </c>
      <c r="J91" s="10"/>
      <c r="K91" s="8" t="s">
        <v>43</v>
      </c>
      <c r="L91" s="8" t="s">
        <v>43</v>
      </c>
      <c r="M91" s="12" t="s">
        <v>29</v>
      </c>
      <c r="N91" s="12" t="s">
        <v>29</v>
      </c>
      <c r="O91" s="13"/>
      <c r="P91" s="8"/>
      <c r="Q91" s="8"/>
      <c r="R91" s="16" t="b">
        <v>0</v>
      </c>
      <c r="S91" s="16"/>
      <c r="T91" s="15" t="e">
        <f t="shared" ca="1" si="0"/>
        <v>#NAME?</v>
      </c>
      <c r="U91" s="16"/>
    </row>
    <row r="92" spans="1:21" ht="81" customHeight="1">
      <c r="A92" s="6">
        <v>45971.421574074076</v>
      </c>
      <c r="C92" s="8" t="s">
        <v>462</v>
      </c>
      <c r="D92" s="8" t="s">
        <v>463</v>
      </c>
      <c r="E92" s="8" t="s">
        <v>464</v>
      </c>
      <c r="F92" s="8" t="s">
        <v>465</v>
      </c>
      <c r="G92" s="9" t="s">
        <v>48</v>
      </c>
      <c r="H92" s="8" t="s">
        <v>77</v>
      </c>
      <c r="I92" s="8" t="s">
        <v>466</v>
      </c>
      <c r="J92" s="10"/>
      <c r="K92" s="8" t="s">
        <v>27</v>
      </c>
      <c r="L92" s="8" t="s">
        <v>27</v>
      </c>
      <c r="M92" s="12" t="s">
        <v>29</v>
      </c>
      <c r="N92" s="12" t="s">
        <v>29</v>
      </c>
      <c r="O92" s="13"/>
      <c r="P92" s="8"/>
      <c r="Q92" s="8"/>
      <c r="R92" s="14" t="b">
        <v>0</v>
      </c>
      <c r="S92" s="14"/>
      <c r="T92" s="15" t="e">
        <f t="shared" ca="1" si="0"/>
        <v>#NAME?</v>
      </c>
      <c r="U92" s="14"/>
    </row>
    <row r="93" spans="1:21" ht="81" customHeight="1">
      <c r="A93" s="6">
        <v>45971.421990740739</v>
      </c>
      <c r="C93" s="8" t="s">
        <v>467</v>
      </c>
      <c r="D93" s="8" t="s">
        <v>468</v>
      </c>
      <c r="E93" s="8"/>
      <c r="F93" s="8" t="s">
        <v>469</v>
      </c>
      <c r="G93" s="9" t="s">
        <v>48</v>
      </c>
      <c r="H93" s="8" t="s">
        <v>77</v>
      </c>
      <c r="I93" s="8" t="s">
        <v>470</v>
      </c>
      <c r="J93" s="10"/>
      <c r="K93" s="8" t="s">
        <v>27</v>
      </c>
      <c r="L93" s="8" t="s">
        <v>27</v>
      </c>
      <c r="M93" s="12" t="s">
        <v>29</v>
      </c>
      <c r="N93" s="12" t="s">
        <v>29</v>
      </c>
      <c r="O93" s="13"/>
      <c r="P93" s="8"/>
      <c r="Q93" s="8"/>
      <c r="R93" s="16" t="b">
        <v>0</v>
      </c>
      <c r="S93" s="16"/>
      <c r="T93" s="15" t="e">
        <f t="shared" ca="1" si="0"/>
        <v>#NAME?</v>
      </c>
      <c r="U93" s="16"/>
    </row>
    <row r="94" spans="1:21" ht="81" customHeight="1">
      <c r="A94" s="6">
        <v>45971.422615740739</v>
      </c>
      <c r="C94" s="8" t="s">
        <v>471</v>
      </c>
      <c r="D94" s="8" t="s">
        <v>472</v>
      </c>
      <c r="E94" s="8"/>
      <c r="F94" s="8" t="s">
        <v>469</v>
      </c>
      <c r="G94" s="9" t="s">
        <v>48</v>
      </c>
      <c r="H94" s="8" t="s">
        <v>473</v>
      </c>
      <c r="I94" s="8" t="s">
        <v>474</v>
      </c>
      <c r="J94" s="10"/>
      <c r="K94" s="8" t="s">
        <v>27</v>
      </c>
      <c r="L94" s="8" t="s">
        <v>27</v>
      </c>
      <c r="M94" s="12" t="s">
        <v>29</v>
      </c>
      <c r="N94" s="12" t="s">
        <v>29</v>
      </c>
      <c r="O94" s="13"/>
      <c r="P94" s="8"/>
      <c r="Q94" s="8"/>
      <c r="R94" s="14" t="b">
        <v>0</v>
      </c>
      <c r="S94" s="14"/>
      <c r="T94" s="15" t="e">
        <f t="shared" ca="1" si="0"/>
        <v>#NAME?</v>
      </c>
      <c r="U94" s="14"/>
    </row>
    <row r="95" spans="1:21" ht="81" customHeight="1">
      <c r="A95" s="6">
        <v>45971.425416666665</v>
      </c>
      <c r="B95" s="9">
        <v>48262</v>
      </c>
      <c r="C95" s="8" t="s">
        <v>475</v>
      </c>
      <c r="D95" s="8" t="s">
        <v>476</v>
      </c>
      <c r="E95" s="8"/>
      <c r="F95" s="8" t="s">
        <v>477</v>
      </c>
      <c r="G95" s="9" t="s">
        <v>24</v>
      </c>
      <c r="H95" s="8" t="s">
        <v>49</v>
      </c>
      <c r="I95" s="8" t="s">
        <v>478</v>
      </c>
      <c r="J95" s="10"/>
      <c r="K95" s="8" t="s">
        <v>43</v>
      </c>
      <c r="L95" s="8" t="s">
        <v>43</v>
      </c>
      <c r="M95" s="12" t="s">
        <v>29</v>
      </c>
      <c r="N95" s="12" t="s">
        <v>29</v>
      </c>
      <c r="O95" s="13">
        <v>185</v>
      </c>
      <c r="P95" s="8" t="s">
        <v>87</v>
      </c>
      <c r="Q95" s="8" t="s">
        <v>97</v>
      </c>
      <c r="R95" s="16" t="b">
        <v>1</v>
      </c>
      <c r="S95" s="16" t="s">
        <v>479</v>
      </c>
      <c r="T95" s="15" t="e">
        <f t="shared" ca="1" si="0"/>
        <v>#NAME?</v>
      </c>
      <c r="U95" s="35" t="s">
        <v>480</v>
      </c>
    </row>
    <row r="96" spans="1:21" ht="81" customHeight="1">
      <c r="A96" s="6">
        <v>45972.416481481479</v>
      </c>
      <c r="B96" s="9">
        <v>48263</v>
      </c>
      <c r="C96" s="8" t="s">
        <v>481</v>
      </c>
      <c r="D96" s="7" t="s">
        <v>21</v>
      </c>
      <c r="E96" s="8"/>
      <c r="F96" s="22" t="s">
        <v>482</v>
      </c>
      <c r="G96" s="9" t="s">
        <v>76</v>
      </c>
      <c r="H96" s="8" t="s">
        <v>49</v>
      </c>
      <c r="I96" s="8" t="s">
        <v>483</v>
      </c>
      <c r="J96" s="10"/>
      <c r="K96" s="8" t="s">
        <v>27</v>
      </c>
      <c r="L96" s="8" t="s">
        <v>27</v>
      </c>
      <c r="M96" s="12" t="s">
        <v>29</v>
      </c>
      <c r="N96" s="12" t="s">
        <v>29</v>
      </c>
      <c r="O96" s="13">
        <v>205</v>
      </c>
      <c r="P96" s="8" t="s">
        <v>87</v>
      </c>
      <c r="Q96" s="8" t="s">
        <v>97</v>
      </c>
      <c r="R96" s="14" t="b">
        <v>0</v>
      </c>
      <c r="S96" s="14"/>
      <c r="T96" s="15" t="e">
        <f t="shared" ca="1" si="0"/>
        <v>#NAME?</v>
      </c>
      <c r="U96" s="14"/>
    </row>
    <row r="97" spans="1:21" ht="81" customHeight="1">
      <c r="A97" s="6"/>
      <c r="C97" s="8"/>
      <c r="D97" s="8"/>
      <c r="E97" s="8"/>
      <c r="F97" s="8"/>
      <c r="G97" s="9"/>
      <c r="H97" s="8"/>
      <c r="I97" s="8"/>
      <c r="J97" s="10"/>
      <c r="K97" s="8"/>
      <c r="L97" s="8"/>
      <c r="M97" s="13"/>
      <c r="N97" s="13"/>
      <c r="O97" s="13"/>
      <c r="P97" s="8"/>
      <c r="Q97" s="8"/>
      <c r="R97" s="16" t="b">
        <v>0</v>
      </c>
      <c r="S97" s="16"/>
      <c r="T97" s="15" t="e">
        <f t="shared" ca="1" si="0"/>
        <v>#NAME?</v>
      </c>
      <c r="U97" s="16"/>
    </row>
    <row r="98" spans="1:21" ht="81" customHeight="1">
      <c r="A98" s="6"/>
      <c r="C98" s="8"/>
      <c r="D98" s="8"/>
      <c r="E98" s="8"/>
      <c r="F98" s="8"/>
      <c r="G98" s="9"/>
      <c r="H98" s="8"/>
      <c r="I98" s="8"/>
      <c r="J98" s="10"/>
      <c r="K98" s="8"/>
      <c r="L98" s="8"/>
      <c r="M98" s="13"/>
      <c r="N98" s="13"/>
      <c r="O98" s="13"/>
      <c r="P98" s="8"/>
      <c r="Q98" s="8"/>
      <c r="R98" s="14" t="b">
        <v>0</v>
      </c>
      <c r="S98" s="14"/>
      <c r="T98" s="15" t="e">
        <f t="shared" ca="1" si="0"/>
        <v>#NAME?</v>
      </c>
      <c r="U98" s="14"/>
    </row>
    <row r="99" spans="1:21" ht="81" customHeight="1">
      <c r="A99" s="6"/>
      <c r="C99" s="8"/>
      <c r="D99" s="8"/>
      <c r="E99" s="8"/>
      <c r="F99" s="8"/>
      <c r="G99" s="9"/>
      <c r="H99" s="8"/>
      <c r="I99" s="8"/>
      <c r="J99" s="10"/>
      <c r="K99" s="8"/>
      <c r="L99" s="8"/>
      <c r="M99" s="13"/>
      <c r="N99" s="13"/>
      <c r="O99" s="13"/>
      <c r="P99" s="8"/>
      <c r="Q99" s="8"/>
      <c r="R99" s="16" t="b">
        <v>0</v>
      </c>
      <c r="S99" s="16"/>
      <c r="T99" s="15" t="e">
        <f t="shared" ca="1" si="0"/>
        <v>#NAME?</v>
      </c>
      <c r="U99" s="16"/>
    </row>
    <row r="100" spans="1:21" ht="81" customHeight="1">
      <c r="A100" s="6"/>
      <c r="C100" s="8"/>
      <c r="D100" s="8"/>
      <c r="E100" s="8"/>
      <c r="F100" s="8"/>
      <c r="G100" s="9"/>
      <c r="H100" s="8"/>
      <c r="I100" s="8"/>
      <c r="J100" s="10"/>
      <c r="K100" s="8"/>
      <c r="L100" s="8"/>
      <c r="M100" s="13"/>
      <c r="N100" s="13"/>
      <c r="O100" s="13"/>
      <c r="P100" s="8"/>
      <c r="Q100" s="8"/>
      <c r="R100" s="14" t="b">
        <v>0</v>
      </c>
      <c r="S100" s="14"/>
      <c r="T100" s="15" t="e">
        <f t="shared" ca="1" si="0"/>
        <v>#NAME?</v>
      </c>
      <c r="U100" s="14"/>
    </row>
    <row r="101" spans="1:21" ht="81" customHeight="1">
      <c r="A101" s="6"/>
      <c r="C101" s="8"/>
      <c r="D101" s="8"/>
      <c r="E101" s="8"/>
      <c r="F101" s="8"/>
      <c r="G101" s="9"/>
      <c r="H101" s="8"/>
      <c r="I101" s="8"/>
      <c r="J101" s="10"/>
      <c r="K101" s="8"/>
      <c r="L101" s="8"/>
      <c r="M101" s="13"/>
      <c r="N101" s="13"/>
      <c r="O101" s="13"/>
      <c r="P101" s="8"/>
      <c r="Q101" s="8"/>
      <c r="R101" s="16" t="b">
        <v>0</v>
      </c>
      <c r="S101" s="16"/>
      <c r="T101" s="15" t="e">
        <f t="shared" ca="1" si="0"/>
        <v>#NAME?</v>
      </c>
      <c r="U101" s="16"/>
    </row>
    <row r="102" spans="1:21" ht="15.75" customHeight="1">
      <c r="J102" s="10"/>
      <c r="M102" s="13"/>
      <c r="N102" s="13"/>
      <c r="O102" s="13"/>
      <c r="R102" s="14"/>
      <c r="S102" s="14"/>
      <c r="T102" s="14"/>
      <c r="U102" s="14"/>
    </row>
    <row r="103" spans="1:21" ht="15.75" customHeight="1">
      <c r="J103" s="10"/>
      <c r="M103" s="36"/>
      <c r="N103" s="36"/>
      <c r="O103" s="37">
        <f>SUM(O2:O95)</f>
        <v>8860</v>
      </c>
      <c r="R103" s="16"/>
      <c r="S103" s="16"/>
      <c r="T103" s="16"/>
      <c r="U103" s="16"/>
    </row>
    <row r="104" spans="1:21" ht="15.75" customHeight="1">
      <c r="J104" s="10"/>
      <c r="M104" s="13"/>
      <c r="N104" s="13"/>
      <c r="O104" s="13"/>
      <c r="R104" s="14"/>
      <c r="S104" s="14"/>
      <c r="T104" s="14"/>
      <c r="U104" s="14"/>
    </row>
    <row r="105" spans="1:21" ht="15.75" customHeight="1">
      <c r="J105" s="10"/>
      <c r="M105" s="13"/>
      <c r="N105" s="13"/>
      <c r="O105" s="13"/>
      <c r="R105" s="16"/>
      <c r="S105" s="16"/>
      <c r="T105" s="16"/>
      <c r="U105" s="16"/>
    </row>
    <row r="106" spans="1:21" ht="15.75" customHeight="1">
      <c r="J106" s="10"/>
      <c r="M106" s="13"/>
      <c r="N106" s="13"/>
      <c r="O106" s="13"/>
      <c r="R106" s="14"/>
      <c r="S106" s="14"/>
      <c r="T106" s="14"/>
      <c r="U106" s="14"/>
    </row>
    <row r="107" spans="1:21" ht="15.75" customHeight="1">
      <c r="J107" s="10"/>
      <c r="M107" s="13"/>
      <c r="N107" s="13"/>
      <c r="O107" s="13"/>
      <c r="R107" s="16"/>
      <c r="S107" s="16"/>
      <c r="T107" s="16"/>
      <c r="U107" s="16"/>
    </row>
    <row r="108" spans="1:21" ht="15.75" customHeight="1">
      <c r="J108" s="10"/>
      <c r="M108" s="13"/>
      <c r="N108" s="13"/>
      <c r="O108" s="13"/>
      <c r="R108" s="14"/>
      <c r="S108" s="14"/>
      <c r="T108" s="14"/>
      <c r="U108" s="14"/>
    </row>
    <row r="109" spans="1:21" ht="15.75" customHeight="1">
      <c r="J109" s="10"/>
      <c r="M109" s="13"/>
      <c r="N109" s="13"/>
      <c r="O109" s="13"/>
      <c r="R109" s="16"/>
      <c r="S109" s="16"/>
      <c r="T109" s="16"/>
      <c r="U109" s="16"/>
    </row>
    <row r="110" spans="1:21" ht="15.75" customHeight="1">
      <c r="J110" s="10"/>
      <c r="M110" s="13"/>
      <c r="N110" s="13"/>
      <c r="O110" s="13"/>
      <c r="R110" s="14"/>
      <c r="S110" s="14"/>
      <c r="T110" s="14"/>
      <c r="U110" s="14"/>
    </row>
    <row r="111" spans="1:21" ht="15.75" customHeight="1">
      <c r="J111" s="10"/>
      <c r="M111" s="13"/>
      <c r="N111" s="13"/>
      <c r="O111" s="13"/>
      <c r="R111" s="16"/>
      <c r="S111" s="16"/>
      <c r="T111" s="16"/>
      <c r="U111" s="16"/>
    </row>
    <row r="112" spans="1:21" ht="15.75" customHeight="1">
      <c r="J112" s="10"/>
      <c r="M112" s="13"/>
      <c r="N112" s="13"/>
      <c r="O112" s="13"/>
      <c r="R112" s="14"/>
      <c r="S112" s="14"/>
      <c r="T112" s="14"/>
      <c r="U112" s="14"/>
    </row>
    <row r="113" spans="10:21" ht="15.75" customHeight="1">
      <c r="J113" s="10"/>
      <c r="M113" s="13"/>
      <c r="N113" s="13"/>
      <c r="O113" s="13"/>
      <c r="R113" s="16"/>
      <c r="S113" s="16"/>
      <c r="T113" s="16"/>
      <c r="U113" s="16"/>
    </row>
    <row r="114" spans="10:21" ht="15.75" customHeight="1">
      <c r="J114" s="10"/>
      <c r="M114" s="13"/>
      <c r="N114" s="13"/>
      <c r="O114" s="13"/>
      <c r="R114" s="14"/>
      <c r="S114" s="14"/>
      <c r="T114" s="14"/>
      <c r="U114" s="14"/>
    </row>
    <row r="115" spans="10:21" ht="15.75" customHeight="1">
      <c r="J115" s="10"/>
      <c r="M115" s="13"/>
      <c r="N115" s="13"/>
      <c r="O115" s="13"/>
      <c r="R115" s="16"/>
      <c r="S115" s="16"/>
      <c r="T115" s="16"/>
      <c r="U115" s="16"/>
    </row>
    <row r="116" spans="10:21" ht="15.75" customHeight="1">
      <c r="J116" s="10"/>
      <c r="M116" s="13"/>
      <c r="N116" s="13"/>
      <c r="O116" s="13"/>
      <c r="R116" s="14"/>
      <c r="S116" s="14"/>
      <c r="T116" s="14"/>
      <c r="U116" s="14"/>
    </row>
    <row r="117" spans="10:21" ht="15.75" customHeight="1">
      <c r="J117" s="10"/>
      <c r="M117" s="13"/>
      <c r="N117" s="13"/>
      <c r="O117" s="13"/>
      <c r="R117" s="16"/>
      <c r="S117" s="16"/>
      <c r="T117" s="16"/>
      <c r="U117" s="16"/>
    </row>
    <row r="118" spans="10:21" ht="15.75" customHeight="1">
      <c r="J118" s="10"/>
      <c r="M118" s="13"/>
      <c r="N118" s="13"/>
      <c r="O118" s="13"/>
      <c r="R118" s="14"/>
      <c r="S118" s="14"/>
      <c r="T118" s="14"/>
      <c r="U118" s="14"/>
    </row>
    <row r="119" spans="10:21" ht="15.75" customHeight="1">
      <c r="J119" s="10"/>
      <c r="M119" s="13"/>
      <c r="N119" s="13"/>
      <c r="O119" s="13"/>
      <c r="R119" s="16"/>
      <c r="S119" s="16"/>
      <c r="T119" s="16"/>
      <c r="U119" s="16"/>
    </row>
    <row r="120" spans="10:21" ht="15.75" customHeight="1">
      <c r="J120" s="10"/>
      <c r="M120" s="13"/>
      <c r="N120" s="13"/>
      <c r="O120" s="13"/>
      <c r="R120" s="14"/>
      <c r="S120" s="14"/>
      <c r="T120" s="14"/>
      <c r="U120" s="14"/>
    </row>
    <row r="121" spans="10:21" ht="15.75" customHeight="1">
      <c r="J121" s="10"/>
      <c r="M121" s="13"/>
      <c r="N121" s="13"/>
      <c r="O121" s="13"/>
      <c r="R121" s="16"/>
      <c r="S121" s="16"/>
      <c r="T121" s="16"/>
      <c r="U121" s="16"/>
    </row>
    <row r="122" spans="10:21" ht="15.75" customHeight="1">
      <c r="J122" s="10"/>
      <c r="M122" s="13"/>
      <c r="N122" s="13"/>
      <c r="O122" s="13"/>
      <c r="R122" s="14"/>
      <c r="S122" s="14"/>
      <c r="T122" s="14"/>
      <c r="U122" s="14"/>
    </row>
    <row r="123" spans="10:21" ht="15.75" customHeight="1">
      <c r="J123" s="10"/>
      <c r="M123" s="13"/>
      <c r="N123" s="13"/>
      <c r="O123" s="13"/>
      <c r="R123" s="16"/>
      <c r="S123" s="16"/>
      <c r="T123" s="16"/>
      <c r="U123" s="16"/>
    </row>
    <row r="124" spans="10:21" ht="15.75" customHeight="1">
      <c r="J124" s="10"/>
      <c r="M124" s="13"/>
      <c r="N124" s="13"/>
      <c r="O124" s="13"/>
      <c r="R124" s="14"/>
      <c r="S124" s="14"/>
      <c r="T124" s="14"/>
      <c r="U124" s="14"/>
    </row>
    <row r="125" spans="10:21" ht="15.75" customHeight="1">
      <c r="J125" s="10"/>
      <c r="M125" s="13"/>
      <c r="N125" s="13"/>
      <c r="O125" s="13"/>
      <c r="R125" s="16"/>
      <c r="S125" s="16"/>
      <c r="T125" s="16"/>
      <c r="U125" s="16"/>
    </row>
    <row r="126" spans="10:21" ht="15.75" customHeight="1">
      <c r="J126" s="10"/>
      <c r="M126" s="13"/>
      <c r="N126" s="13"/>
      <c r="O126" s="13"/>
      <c r="R126" s="14"/>
      <c r="S126" s="14"/>
      <c r="T126" s="14"/>
      <c r="U126" s="14"/>
    </row>
    <row r="127" spans="10:21" ht="15.75" customHeight="1">
      <c r="J127" s="10"/>
      <c r="M127" s="13"/>
      <c r="N127" s="13"/>
      <c r="O127" s="13"/>
      <c r="R127" s="16"/>
      <c r="S127" s="16"/>
      <c r="T127" s="16"/>
      <c r="U127" s="16"/>
    </row>
    <row r="128" spans="10:21" ht="15.75" customHeight="1">
      <c r="J128" s="10"/>
      <c r="M128" s="13"/>
      <c r="N128" s="13"/>
      <c r="O128" s="13"/>
      <c r="R128" s="14"/>
      <c r="S128" s="14"/>
      <c r="T128" s="14"/>
      <c r="U128" s="14"/>
    </row>
    <row r="129" spans="10:21" ht="15.75" customHeight="1">
      <c r="J129" s="10"/>
      <c r="M129" s="13"/>
      <c r="N129" s="13"/>
      <c r="O129" s="13"/>
      <c r="R129" s="16"/>
      <c r="S129" s="16"/>
      <c r="T129" s="16"/>
      <c r="U129" s="16"/>
    </row>
    <row r="130" spans="10:21" ht="15.75" customHeight="1">
      <c r="J130" s="10"/>
      <c r="M130" s="13"/>
      <c r="N130" s="13"/>
      <c r="O130" s="13"/>
      <c r="R130" s="14"/>
      <c r="S130" s="14"/>
      <c r="T130" s="14"/>
      <c r="U130" s="14"/>
    </row>
    <row r="131" spans="10:21" ht="15.75" customHeight="1">
      <c r="J131" s="10"/>
      <c r="M131" s="13"/>
      <c r="N131" s="13"/>
      <c r="O131" s="13"/>
      <c r="R131" s="16"/>
      <c r="S131" s="16"/>
      <c r="T131" s="16"/>
      <c r="U131" s="16"/>
    </row>
    <row r="132" spans="10:21" ht="15.75" customHeight="1">
      <c r="J132" s="10"/>
      <c r="M132" s="13"/>
      <c r="N132" s="13"/>
      <c r="O132" s="13"/>
      <c r="R132" s="14"/>
      <c r="S132" s="14"/>
      <c r="T132" s="14"/>
      <c r="U132" s="14"/>
    </row>
    <row r="133" spans="10:21" ht="15.75" customHeight="1">
      <c r="J133" s="10"/>
      <c r="M133" s="13"/>
      <c r="N133" s="13"/>
      <c r="O133" s="13"/>
      <c r="R133" s="16"/>
      <c r="S133" s="16"/>
      <c r="T133" s="16"/>
      <c r="U133" s="16"/>
    </row>
    <row r="134" spans="10:21" ht="15.75" customHeight="1">
      <c r="J134" s="10"/>
      <c r="M134" s="13"/>
      <c r="N134" s="13"/>
      <c r="O134" s="13"/>
      <c r="R134" s="14"/>
      <c r="S134" s="14"/>
      <c r="T134" s="14"/>
      <c r="U134" s="14"/>
    </row>
    <row r="135" spans="10:21" ht="15.75" customHeight="1">
      <c r="J135" s="10"/>
      <c r="M135" s="13"/>
      <c r="N135" s="13"/>
      <c r="O135" s="13"/>
      <c r="R135" s="16"/>
      <c r="S135" s="16"/>
      <c r="T135" s="16"/>
      <c r="U135" s="16"/>
    </row>
    <row r="136" spans="10:21" ht="15.75" customHeight="1">
      <c r="J136" s="10"/>
      <c r="M136" s="13"/>
      <c r="N136" s="13"/>
      <c r="O136" s="13"/>
      <c r="R136" s="14"/>
      <c r="S136" s="14"/>
      <c r="T136" s="14"/>
      <c r="U136" s="14"/>
    </row>
    <row r="137" spans="10:21" ht="15.75" customHeight="1">
      <c r="J137" s="10"/>
      <c r="M137" s="13"/>
      <c r="N137" s="13"/>
      <c r="O137" s="13"/>
      <c r="R137" s="16"/>
      <c r="S137" s="16"/>
      <c r="T137" s="16"/>
      <c r="U137" s="16"/>
    </row>
    <row r="138" spans="10:21" ht="15.75" customHeight="1">
      <c r="J138" s="10"/>
      <c r="M138" s="13"/>
      <c r="N138" s="13"/>
      <c r="O138" s="13"/>
      <c r="R138" s="14"/>
      <c r="S138" s="14"/>
      <c r="T138" s="14"/>
      <c r="U138" s="14"/>
    </row>
    <row r="139" spans="10:21" ht="15.75" customHeight="1">
      <c r="J139" s="10"/>
      <c r="M139" s="13"/>
      <c r="N139" s="13"/>
      <c r="O139" s="13"/>
      <c r="R139" s="16"/>
      <c r="S139" s="16"/>
      <c r="T139" s="16"/>
      <c r="U139" s="16"/>
    </row>
    <row r="140" spans="10:21" ht="15.75" customHeight="1">
      <c r="J140" s="10"/>
      <c r="M140" s="13"/>
      <c r="N140" s="13"/>
      <c r="O140" s="13"/>
      <c r="R140" s="14"/>
      <c r="S140" s="14"/>
      <c r="T140" s="14"/>
      <c r="U140" s="14"/>
    </row>
    <row r="141" spans="10:21" ht="15.75" customHeight="1">
      <c r="J141" s="10"/>
      <c r="M141" s="13"/>
      <c r="N141" s="13"/>
      <c r="O141" s="13"/>
      <c r="R141" s="16"/>
      <c r="S141" s="16"/>
      <c r="T141" s="16"/>
      <c r="U141" s="16"/>
    </row>
    <row r="142" spans="10:21" ht="15.75" customHeight="1">
      <c r="J142" s="10"/>
      <c r="M142" s="13"/>
      <c r="N142" s="13"/>
      <c r="O142" s="13"/>
      <c r="R142" s="14"/>
      <c r="S142" s="14"/>
      <c r="T142" s="14"/>
      <c r="U142" s="14"/>
    </row>
    <row r="143" spans="10:21" ht="15.75" customHeight="1">
      <c r="J143" s="10"/>
      <c r="M143" s="13"/>
      <c r="N143" s="13"/>
      <c r="O143" s="13"/>
      <c r="R143" s="16"/>
      <c r="S143" s="16"/>
      <c r="T143" s="16"/>
      <c r="U143" s="16"/>
    </row>
    <row r="144" spans="10:21" ht="15.75" customHeight="1">
      <c r="J144" s="10"/>
      <c r="M144" s="13"/>
      <c r="N144" s="13"/>
      <c r="O144" s="13"/>
      <c r="R144" s="14"/>
      <c r="S144" s="14"/>
      <c r="T144" s="14"/>
      <c r="U144" s="14"/>
    </row>
    <row r="145" spans="10:21" ht="15.75" customHeight="1">
      <c r="J145" s="10"/>
      <c r="M145" s="13"/>
      <c r="N145" s="13"/>
      <c r="O145" s="13"/>
      <c r="R145" s="16"/>
      <c r="S145" s="16"/>
      <c r="T145" s="16"/>
      <c r="U145" s="16"/>
    </row>
    <row r="146" spans="10:21" ht="15.75" customHeight="1">
      <c r="J146" s="10"/>
      <c r="M146" s="13"/>
      <c r="N146" s="13"/>
      <c r="O146" s="13"/>
      <c r="R146" s="14"/>
      <c r="S146" s="14"/>
      <c r="T146" s="14"/>
      <c r="U146" s="14"/>
    </row>
    <row r="147" spans="10:21" ht="15.75" customHeight="1">
      <c r="J147" s="10"/>
      <c r="M147" s="13"/>
      <c r="N147" s="13"/>
      <c r="O147" s="13"/>
      <c r="R147" s="16"/>
      <c r="S147" s="16"/>
      <c r="T147" s="16"/>
      <c r="U147" s="16"/>
    </row>
    <row r="148" spans="10:21" ht="15.75" customHeight="1">
      <c r="J148" s="10"/>
      <c r="M148" s="13"/>
      <c r="N148" s="13"/>
      <c r="O148" s="13"/>
      <c r="R148" s="14"/>
      <c r="S148" s="14"/>
      <c r="T148" s="14"/>
      <c r="U148" s="14"/>
    </row>
    <row r="149" spans="10:21" ht="15.75" customHeight="1">
      <c r="J149" s="10"/>
      <c r="M149" s="13"/>
      <c r="N149" s="13"/>
      <c r="O149" s="13"/>
      <c r="R149" s="16"/>
      <c r="S149" s="16"/>
      <c r="T149" s="16"/>
      <c r="U149" s="16"/>
    </row>
    <row r="150" spans="10:21" ht="15.75" customHeight="1">
      <c r="J150" s="10"/>
      <c r="M150" s="13"/>
      <c r="N150" s="13"/>
      <c r="O150" s="13"/>
      <c r="R150" s="14"/>
      <c r="S150" s="14"/>
      <c r="T150" s="14"/>
      <c r="U150" s="14"/>
    </row>
    <row r="151" spans="10:21" ht="15.75" customHeight="1">
      <c r="J151" s="10"/>
      <c r="M151" s="13"/>
      <c r="N151" s="13"/>
      <c r="O151" s="13"/>
      <c r="R151" s="16"/>
      <c r="S151" s="16"/>
      <c r="T151" s="16"/>
      <c r="U151" s="16"/>
    </row>
    <row r="152" spans="10:21" ht="15.75" customHeight="1">
      <c r="J152" s="10"/>
      <c r="M152" s="13"/>
      <c r="N152" s="13"/>
      <c r="O152" s="13"/>
      <c r="R152" s="14"/>
      <c r="S152" s="14"/>
      <c r="T152" s="14"/>
      <c r="U152" s="14"/>
    </row>
    <row r="153" spans="10:21" ht="15.75" customHeight="1">
      <c r="J153" s="10"/>
      <c r="M153" s="13"/>
      <c r="N153" s="13"/>
      <c r="O153" s="13"/>
      <c r="R153" s="16"/>
      <c r="S153" s="16"/>
      <c r="T153" s="16"/>
      <c r="U153" s="16"/>
    </row>
    <row r="154" spans="10:21" ht="15.75" customHeight="1">
      <c r="J154" s="10"/>
      <c r="M154" s="13"/>
      <c r="N154" s="13"/>
      <c r="O154" s="13"/>
      <c r="R154" s="14"/>
      <c r="S154" s="14"/>
      <c r="T154" s="14"/>
      <c r="U154" s="14"/>
    </row>
    <row r="155" spans="10:21" ht="15.75" customHeight="1">
      <c r="J155" s="10"/>
      <c r="M155" s="13"/>
      <c r="N155" s="13"/>
      <c r="O155" s="13"/>
      <c r="R155" s="16"/>
      <c r="S155" s="16"/>
      <c r="T155" s="16"/>
      <c r="U155" s="16"/>
    </row>
    <row r="156" spans="10:21" ht="15.75" customHeight="1">
      <c r="J156" s="10"/>
      <c r="M156" s="13"/>
      <c r="N156" s="13"/>
      <c r="O156" s="13"/>
      <c r="R156" s="14"/>
      <c r="S156" s="14"/>
      <c r="T156" s="14"/>
      <c r="U156" s="14"/>
    </row>
    <row r="157" spans="10:21" ht="15.75" customHeight="1">
      <c r="J157" s="10"/>
      <c r="M157" s="13"/>
      <c r="N157" s="13"/>
      <c r="O157" s="13"/>
      <c r="R157" s="16"/>
      <c r="S157" s="16"/>
      <c r="T157" s="16"/>
      <c r="U157" s="16"/>
    </row>
    <row r="158" spans="10:21" ht="15.75" customHeight="1">
      <c r="J158" s="10"/>
      <c r="M158" s="13"/>
      <c r="N158" s="13"/>
      <c r="O158" s="13"/>
      <c r="R158" s="14"/>
      <c r="S158" s="14"/>
      <c r="T158" s="14"/>
      <c r="U158" s="14"/>
    </row>
    <row r="159" spans="10:21" ht="15.75" customHeight="1">
      <c r="J159" s="10"/>
      <c r="M159" s="13"/>
      <c r="N159" s="13"/>
      <c r="O159" s="13"/>
      <c r="R159" s="16"/>
      <c r="S159" s="16"/>
      <c r="T159" s="16"/>
      <c r="U159" s="16"/>
    </row>
    <row r="160" spans="10:21" ht="15.75" customHeight="1">
      <c r="J160" s="10"/>
      <c r="M160" s="13"/>
      <c r="N160" s="13"/>
      <c r="O160" s="13"/>
      <c r="R160" s="14"/>
      <c r="S160" s="14"/>
      <c r="T160" s="14"/>
      <c r="U160" s="14"/>
    </row>
    <row r="161" spans="10:21" ht="15.75" customHeight="1">
      <c r="J161" s="10"/>
      <c r="M161" s="13"/>
      <c r="N161" s="13"/>
      <c r="O161" s="13"/>
      <c r="R161" s="16"/>
      <c r="S161" s="16"/>
      <c r="T161" s="16"/>
      <c r="U161" s="16"/>
    </row>
    <row r="162" spans="10:21" ht="15.75" customHeight="1">
      <c r="J162" s="10"/>
      <c r="M162" s="13"/>
      <c r="N162" s="13"/>
      <c r="O162" s="13"/>
      <c r="R162" s="14"/>
      <c r="S162" s="14"/>
      <c r="T162" s="14"/>
      <c r="U162" s="14"/>
    </row>
    <row r="163" spans="10:21" ht="15.75" customHeight="1">
      <c r="J163" s="10"/>
      <c r="M163" s="13"/>
      <c r="N163" s="13"/>
      <c r="O163" s="13"/>
      <c r="R163" s="16"/>
      <c r="S163" s="16"/>
      <c r="T163" s="16"/>
      <c r="U163" s="16"/>
    </row>
    <row r="164" spans="10:21" ht="15.75" customHeight="1">
      <c r="J164" s="10"/>
      <c r="M164" s="13"/>
      <c r="N164" s="13"/>
      <c r="O164" s="13"/>
      <c r="R164" s="14"/>
      <c r="S164" s="14"/>
      <c r="T164" s="14"/>
      <c r="U164" s="14"/>
    </row>
    <row r="165" spans="10:21" ht="15.75" customHeight="1">
      <c r="J165" s="10"/>
      <c r="M165" s="13"/>
      <c r="N165" s="13"/>
      <c r="O165" s="13"/>
      <c r="R165" s="16"/>
      <c r="S165" s="16"/>
      <c r="T165" s="16"/>
      <c r="U165" s="16"/>
    </row>
    <row r="166" spans="10:21" ht="15.75" customHeight="1">
      <c r="J166" s="10"/>
      <c r="M166" s="13"/>
      <c r="N166" s="13"/>
      <c r="O166" s="13"/>
      <c r="R166" s="14"/>
      <c r="S166" s="14"/>
      <c r="T166" s="14"/>
      <c r="U166" s="14"/>
    </row>
    <row r="167" spans="10:21" ht="15.75" customHeight="1">
      <c r="J167" s="10"/>
      <c r="M167" s="13"/>
      <c r="N167" s="13"/>
      <c r="O167" s="13"/>
      <c r="R167" s="16"/>
      <c r="S167" s="16"/>
      <c r="T167" s="16"/>
      <c r="U167" s="16"/>
    </row>
    <row r="168" spans="10:21" ht="15.75" customHeight="1">
      <c r="J168" s="10"/>
      <c r="M168" s="13"/>
      <c r="N168" s="13"/>
      <c r="O168" s="13"/>
      <c r="R168" s="14"/>
      <c r="S168" s="14"/>
      <c r="T168" s="14"/>
      <c r="U168" s="14"/>
    </row>
    <row r="169" spans="10:21" ht="15.75" customHeight="1">
      <c r="J169" s="10"/>
      <c r="M169" s="13"/>
      <c r="N169" s="13"/>
      <c r="O169" s="13"/>
      <c r="R169" s="16"/>
      <c r="S169" s="16"/>
      <c r="T169" s="16"/>
      <c r="U169" s="16"/>
    </row>
    <row r="170" spans="10:21" ht="15.75" customHeight="1">
      <c r="J170" s="10"/>
      <c r="M170" s="13"/>
      <c r="N170" s="13"/>
      <c r="O170" s="13"/>
      <c r="R170" s="14"/>
      <c r="S170" s="14"/>
      <c r="T170" s="14"/>
      <c r="U170" s="14"/>
    </row>
    <row r="171" spans="10:21" ht="15.75" customHeight="1">
      <c r="J171" s="10"/>
      <c r="M171" s="13"/>
      <c r="N171" s="13"/>
      <c r="O171" s="13"/>
      <c r="R171" s="16"/>
      <c r="S171" s="16"/>
      <c r="T171" s="16"/>
      <c r="U171" s="16"/>
    </row>
    <row r="172" spans="10:21" ht="15.75" customHeight="1">
      <c r="J172" s="10"/>
      <c r="M172" s="13"/>
      <c r="N172" s="13"/>
      <c r="O172" s="13"/>
      <c r="R172" s="14"/>
      <c r="S172" s="14"/>
      <c r="T172" s="14"/>
      <c r="U172" s="14"/>
    </row>
    <row r="173" spans="10:21" ht="15.75" customHeight="1">
      <c r="J173" s="10"/>
      <c r="M173" s="13"/>
      <c r="N173" s="13"/>
      <c r="O173" s="13"/>
      <c r="R173" s="16"/>
      <c r="S173" s="16"/>
      <c r="T173" s="16"/>
      <c r="U173" s="16"/>
    </row>
    <row r="174" spans="10:21" ht="15.75" customHeight="1">
      <c r="J174" s="10"/>
      <c r="M174" s="13"/>
      <c r="N174" s="13"/>
      <c r="O174" s="13"/>
      <c r="R174" s="14"/>
      <c r="S174" s="14"/>
      <c r="T174" s="14"/>
      <c r="U174" s="14"/>
    </row>
    <row r="175" spans="10:21" ht="15.75" customHeight="1">
      <c r="J175" s="10"/>
      <c r="M175" s="13"/>
      <c r="N175" s="13"/>
      <c r="O175" s="13"/>
      <c r="R175" s="16"/>
      <c r="S175" s="16"/>
      <c r="T175" s="16"/>
      <c r="U175" s="16"/>
    </row>
    <row r="176" spans="10:21" ht="15.75" customHeight="1">
      <c r="J176" s="10"/>
      <c r="M176" s="13"/>
      <c r="N176" s="13"/>
      <c r="O176" s="13"/>
      <c r="R176" s="14"/>
      <c r="S176" s="14"/>
      <c r="T176" s="14"/>
      <c r="U176" s="14"/>
    </row>
    <row r="177" spans="10:21" ht="15.75" customHeight="1">
      <c r="J177" s="10"/>
      <c r="M177" s="13"/>
      <c r="N177" s="13"/>
      <c r="O177" s="13"/>
      <c r="R177" s="16"/>
      <c r="S177" s="16"/>
      <c r="T177" s="16"/>
      <c r="U177" s="16"/>
    </row>
    <row r="178" spans="10:21" ht="15.75" customHeight="1">
      <c r="J178" s="10"/>
      <c r="M178" s="13"/>
      <c r="N178" s="13"/>
      <c r="O178" s="13"/>
      <c r="R178" s="14"/>
      <c r="S178" s="14"/>
      <c r="T178" s="14"/>
      <c r="U178" s="14"/>
    </row>
    <row r="179" spans="10:21" ht="15.75" customHeight="1">
      <c r="J179" s="10"/>
      <c r="M179" s="13"/>
      <c r="N179" s="13"/>
      <c r="O179" s="13"/>
      <c r="R179" s="16"/>
      <c r="S179" s="16"/>
      <c r="T179" s="16"/>
      <c r="U179" s="16"/>
    </row>
    <row r="180" spans="10:21" ht="15.75" customHeight="1">
      <c r="J180" s="10"/>
      <c r="M180" s="13"/>
      <c r="N180" s="13"/>
      <c r="O180" s="13"/>
      <c r="R180" s="14"/>
      <c r="S180" s="14"/>
      <c r="T180" s="14"/>
      <c r="U180" s="14"/>
    </row>
    <row r="181" spans="10:21" ht="15.75" customHeight="1">
      <c r="J181" s="10"/>
      <c r="M181" s="13"/>
      <c r="N181" s="13"/>
      <c r="O181" s="13"/>
      <c r="R181" s="16"/>
      <c r="S181" s="16"/>
      <c r="T181" s="16"/>
      <c r="U181" s="16"/>
    </row>
    <row r="182" spans="10:21" ht="15.75" customHeight="1">
      <c r="J182" s="10"/>
      <c r="M182" s="13"/>
      <c r="N182" s="13"/>
      <c r="O182" s="13"/>
      <c r="R182" s="14"/>
      <c r="S182" s="14"/>
      <c r="T182" s="14"/>
      <c r="U182" s="14"/>
    </row>
    <row r="183" spans="10:21" ht="15.75" customHeight="1">
      <c r="J183" s="10"/>
      <c r="M183" s="13"/>
      <c r="N183" s="13"/>
      <c r="O183" s="13"/>
      <c r="R183" s="16"/>
      <c r="S183" s="16"/>
      <c r="T183" s="16"/>
      <c r="U183" s="16"/>
    </row>
    <row r="184" spans="10:21" ht="15.75" customHeight="1">
      <c r="J184" s="10"/>
      <c r="M184" s="13"/>
      <c r="N184" s="13"/>
      <c r="O184" s="13"/>
      <c r="R184" s="14"/>
      <c r="S184" s="14"/>
      <c r="T184" s="14"/>
      <c r="U184" s="14"/>
    </row>
    <row r="185" spans="10:21" ht="15.75" customHeight="1">
      <c r="J185" s="10"/>
      <c r="M185" s="13"/>
      <c r="N185" s="13"/>
      <c r="O185" s="13"/>
      <c r="R185" s="16"/>
      <c r="S185" s="16"/>
      <c r="T185" s="16"/>
      <c r="U185" s="16"/>
    </row>
    <row r="186" spans="10:21" ht="15.75" customHeight="1">
      <c r="J186" s="10"/>
      <c r="M186" s="13"/>
      <c r="N186" s="13"/>
      <c r="O186" s="13"/>
      <c r="R186" s="14"/>
      <c r="S186" s="14"/>
      <c r="T186" s="14"/>
      <c r="U186" s="14"/>
    </row>
    <row r="187" spans="10:21" ht="15.75" customHeight="1">
      <c r="J187" s="10"/>
      <c r="M187" s="13"/>
      <c r="N187" s="13"/>
      <c r="O187" s="13"/>
      <c r="R187" s="16"/>
      <c r="S187" s="16"/>
      <c r="T187" s="16"/>
      <c r="U187" s="16"/>
    </row>
    <row r="188" spans="10:21" ht="15.75" customHeight="1">
      <c r="J188" s="10"/>
      <c r="M188" s="13"/>
      <c r="N188" s="13"/>
      <c r="O188" s="13"/>
      <c r="R188" s="14"/>
      <c r="S188" s="14"/>
      <c r="T188" s="14"/>
      <c r="U188" s="14"/>
    </row>
    <row r="189" spans="10:21" ht="15.75" customHeight="1">
      <c r="J189" s="10"/>
      <c r="M189" s="13"/>
      <c r="N189" s="13"/>
      <c r="O189" s="13"/>
      <c r="R189" s="16"/>
      <c r="S189" s="16"/>
      <c r="T189" s="16"/>
      <c r="U189" s="16"/>
    </row>
    <row r="190" spans="10:21" ht="15.75" customHeight="1">
      <c r="J190" s="10"/>
      <c r="M190" s="13"/>
      <c r="N190" s="13"/>
      <c r="O190" s="13"/>
      <c r="R190" s="14"/>
      <c r="S190" s="14"/>
      <c r="T190" s="14"/>
      <c r="U190" s="14"/>
    </row>
    <row r="191" spans="10:21" ht="15.75" customHeight="1">
      <c r="J191" s="10"/>
      <c r="M191" s="13"/>
      <c r="N191" s="13"/>
      <c r="O191" s="13"/>
      <c r="R191" s="16"/>
      <c r="S191" s="16"/>
      <c r="T191" s="16"/>
      <c r="U191" s="16"/>
    </row>
    <row r="192" spans="10:21" ht="15.75" customHeight="1">
      <c r="J192" s="10"/>
      <c r="M192" s="13"/>
      <c r="N192" s="13"/>
      <c r="O192" s="13"/>
      <c r="R192" s="14"/>
      <c r="S192" s="14"/>
      <c r="T192" s="14"/>
      <c r="U192" s="14"/>
    </row>
    <row r="193" spans="10:21" ht="15.75" customHeight="1">
      <c r="J193" s="10"/>
      <c r="M193" s="13"/>
      <c r="N193" s="13"/>
      <c r="O193" s="13"/>
      <c r="R193" s="16"/>
      <c r="S193" s="16"/>
      <c r="T193" s="16"/>
      <c r="U193" s="16"/>
    </row>
    <row r="194" spans="10:21" ht="15.75" customHeight="1">
      <c r="J194" s="10"/>
      <c r="M194" s="13"/>
      <c r="N194" s="13"/>
      <c r="O194" s="13"/>
      <c r="R194" s="14"/>
      <c r="S194" s="14"/>
      <c r="T194" s="14"/>
      <c r="U194" s="14"/>
    </row>
    <row r="195" spans="10:21" ht="15.75" customHeight="1">
      <c r="J195" s="10"/>
      <c r="M195" s="13"/>
      <c r="N195" s="13"/>
      <c r="O195" s="13"/>
      <c r="R195" s="16"/>
      <c r="S195" s="16"/>
      <c r="T195" s="16"/>
      <c r="U195" s="16"/>
    </row>
    <row r="196" spans="10:21" ht="15.75" customHeight="1">
      <c r="J196" s="10"/>
      <c r="M196" s="13"/>
      <c r="N196" s="13"/>
      <c r="O196" s="13"/>
      <c r="R196" s="14"/>
      <c r="S196" s="14"/>
      <c r="T196" s="14"/>
      <c r="U196" s="14"/>
    </row>
    <row r="197" spans="10:21" ht="15.75" customHeight="1">
      <c r="J197" s="10"/>
      <c r="M197" s="13"/>
      <c r="N197" s="13"/>
      <c r="O197" s="13"/>
      <c r="R197" s="16"/>
      <c r="S197" s="16"/>
      <c r="T197" s="16"/>
      <c r="U197" s="16"/>
    </row>
    <row r="198" spans="10:21" ht="15.75" customHeight="1">
      <c r="J198" s="10"/>
      <c r="M198" s="13"/>
      <c r="N198" s="13"/>
      <c r="O198" s="13"/>
      <c r="R198" s="14"/>
      <c r="S198" s="14"/>
      <c r="T198" s="14"/>
      <c r="U198" s="14"/>
    </row>
    <row r="199" spans="10:21" ht="15.75" customHeight="1">
      <c r="J199" s="10"/>
      <c r="M199" s="13"/>
      <c r="N199" s="13"/>
      <c r="O199" s="13"/>
      <c r="R199" s="16"/>
      <c r="S199" s="16"/>
      <c r="T199" s="16"/>
      <c r="U199" s="16"/>
    </row>
    <row r="200" spans="10:21" ht="15.75" customHeight="1">
      <c r="J200" s="10"/>
      <c r="M200" s="13"/>
      <c r="N200" s="13"/>
      <c r="O200" s="13"/>
      <c r="R200" s="14"/>
      <c r="S200" s="14"/>
      <c r="T200" s="14"/>
      <c r="U200" s="14"/>
    </row>
    <row r="201" spans="10:21" ht="15.75" customHeight="1">
      <c r="J201" s="10"/>
      <c r="M201" s="13"/>
      <c r="N201" s="13"/>
      <c r="O201" s="13"/>
      <c r="R201" s="16"/>
      <c r="S201" s="16"/>
      <c r="T201" s="16"/>
      <c r="U201" s="16"/>
    </row>
    <row r="202" spans="10:21" ht="15.75" customHeight="1">
      <c r="J202" s="10"/>
      <c r="M202" s="13"/>
      <c r="N202" s="13"/>
      <c r="O202" s="13"/>
      <c r="R202" s="14"/>
      <c r="S202" s="14"/>
      <c r="T202" s="14"/>
      <c r="U202" s="14"/>
    </row>
    <row r="203" spans="10:21" ht="15.75" customHeight="1">
      <c r="J203" s="10"/>
      <c r="M203" s="13"/>
      <c r="N203" s="13"/>
      <c r="O203" s="13"/>
      <c r="R203" s="16"/>
      <c r="S203" s="16"/>
      <c r="T203" s="16"/>
      <c r="U203" s="16"/>
    </row>
    <row r="204" spans="10:21" ht="15.75" customHeight="1">
      <c r="J204" s="10"/>
      <c r="M204" s="13"/>
      <c r="N204" s="13"/>
      <c r="O204" s="13"/>
      <c r="R204" s="14"/>
      <c r="S204" s="14"/>
      <c r="T204" s="14"/>
      <c r="U204" s="14"/>
    </row>
    <row r="205" spans="10:21" ht="15.75" customHeight="1">
      <c r="J205" s="10"/>
      <c r="M205" s="13"/>
      <c r="N205" s="13"/>
      <c r="O205" s="13"/>
      <c r="R205" s="16"/>
      <c r="S205" s="16"/>
      <c r="T205" s="16"/>
      <c r="U205" s="16"/>
    </row>
    <row r="206" spans="10:21" ht="15.75" customHeight="1">
      <c r="J206" s="10"/>
      <c r="M206" s="13"/>
      <c r="N206" s="13"/>
      <c r="O206" s="13"/>
      <c r="R206" s="14"/>
      <c r="S206" s="14"/>
      <c r="T206" s="14"/>
      <c r="U206" s="14"/>
    </row>
    <row r="207" spans="10:21" ht="15.75" customHeight="1">
      <c r="J207" s="10"/>
      <c r="M207" s="13"/>
      <c r="N207" s="13"/>
      <c r="O207" s="13"/>
      <c r="R207" s="16"/>
      <c r="S207" s="16"/>
      <c r="T207" s="16"/>
      <c r="U207" s="16"/>
    </row>
    <row r="208" spans="10:21" ht="15.75" customHeight="1">
      <c r="J208" s="10"/>
      <c r="M208" s="13"/>
      <c r="N208" s="13"/>
      <c r="O208" s="13"/>
      <c r="R208" s="14"/>
      <c r="S208" s="14"/>
      <c r="T208" s="14"/>
      <c r="U208" s="14"/>
    </row>
    <row r="209" spans="10:21" ht="15.75" customHeight="1">
      <c r="J209" s="10"/>
      <c r="M209" s="13"/>
      <c r="N209" s="13"/>
      <c r="O209" s="13"/>
      <c r="R209" s="16"/>
      <c r="S209" s="16"/>
      <c r="T209" s="16"/>
      <c r="U209" s="16"/>
    </row>
    <row r="210" spans="10:21" ht="15.75" customHeight="1">
      <c r="J210" s="10"/>
      <c r="M210" s="13"/>
      <c r="N210" s="13"/>
      <c r="O210" s="13"/>
      <c r="R210" s="14"/>
      <c r="S210" s="14"/>
      <c r="T210" s="14"/>
      <c r="U210" s="14"/>
    </row>
    <row r="211" spans="10:21" ht="15.75" customHeight="1">
      <c r="J211" s="10"/>
      <c r="M211" s="13"/>
      <c r="N211" s="13"/>
      <c r="O211" s="13"/>
      <c r="R211" s="16"/>
      <c r="S211" s="16"/>
      <c r="T211" s="16"/>
      <c r="U211" s="16"/>
    </row>
    <row r="212" spans="10:21" ht="15.75" customHeight="1">
      <c r="J212" s="10"/>
      <c r="M212" s="13"/>
      <c r="N212" s="13"/>
      <c r="O212" s="13"/>
      <c r="R212" s="14"/>
      <c r="S212" s="14"/>
      <c r="T212" s="14"/>
      <c r="U212" s="14"/>
    </row>
    <row r="213" spans="10:21" ht="15.75" customHeight="1">
      <c r="J213" s="10"/>
      <c r="M213" s="13"/>
      <c r="N213" s="13"/>
      <c r="O213" s="13"/>
      <c r="R213" s="16"/>
      <c r="S213" s="16"/>
      <c r="T213" s="16"/>
      <c r="U213" s="16"/>
    </row>
    <row r="214" spans="10:21" ht="15.75" customHeight="1">
      <c r="J214" s="10"/>
      <c r="M214" s="13"/>
      <c r="N214" s="13"/>
      <c r="O214" s="13"/>
      <c r="R214" s="14"/>
      <c r="S214" s="14"/>
      <c r="T214" s="14"/>
      <c r="U214" s="14"/>
    </row>
    <row r="215" spans="10:21" ht="15.75" customHeight="1">
      <c r="J215" s="10"/>
      <c r="M215" s="13"/>
      <c r="N215" s="13"/>
      <c r="O215" s="13"/>
      <c r="R215" s="16"/>
      <c r="S215" s="16"/>
      <c r="T215" s="16"/>
      <c r="U215" s="16"/>
    </row>
    <row r="216" spans="10:21" ht="15.75" customHeight="1">
      <c r="J216" s="10"/>
      <c r="M216" s="13"/>
      <c r="N216" s="13"/>
      <c r="O216" s="13"/>
      <c r="R216" s="14"/>
      <c r="S216" s="14"/>
      <c r="T216" s="14"/>
      <c r="U216" s="14"/>
    </row>
    <row r="217" spans="10:21" ht="15.75" customHeight="1">
      <c r="J217" s="10"/>
      <c r="M217" s="13"/>
      <c r="N217" s="13"/>
      <c r="O217" s="13"/>
      <c r="R217" s="16"/>
      <c r="S217" s="16"/>
      <c r="T217" s="16"/>
      <c r="U217" s="16"/>
    </row>
    <row r="218" spans="10:21" ht="15.75" customHeight="1">
      <c r="J218" s="10"/>
      <c r="M218" s="13"/>
      <c r="N218" s="13"/>
      <c r="O218" s="13"/>
      <c r="R218" s="14"/>
      <c r="S218" s="14"/>
      <c r="T218" s="14"/>
      <c r="U218" s="14"/>
    </row>
    <row r="219" spans="10:21" ht="15.75" customHeight="1">
      <c r="J219" s="10"/>
      <c r="M219" s="13"/>
      <c r="N219" s="13"/>
      <c r="O219" s="13"/>
      <c r="R219" s="16"/>
      <c r="S219" s="16"/>
      <c r="T219" s="16"/>
      <c r="U219" s="16"/>
    </row>
    <row r="220" spans="10:21" ht="15.75" customHeight="1">
      <c r="J220" s="10"/>
      <c r="M220" s="13"/>
      <c r="N220" s="13"/>
      <c r="O220" s="13"/>
      <c r="R220" s="14"/>
      <c r="S220" s="14"/>
      <c r="T220" s="14"/>
      <c r="U220" s="14"/>
    </row>
    <row r="221" spans="10:21" ht="15.75" customHeight="1">
      <c r="J221" s="10"/>
      <c r="M221" s="13"/>
      <c r="N221" s="13"/>
      <c r="O221" s="13"/>
      <c r="R221" s="16"/>
      <c r="S221" s="16"/>
      <c r="T221" s="16"/>
      <c r="U221" s="16"/>
    </row>
    <row r="222" spans="10:21" ht="15.75" customHeight="1">
      <c r="J222" s="10"/>
      <c r="M222" s="13"/>
      <c r="N222" s="13"/>
      <c r="O222" s="13"/>
      <c r="R222" s="14"/>
      <c r="S222" s="14"/>
      <c r="T222" s="14"/>
      <c r="U222" s="14"/>
    </row>
    <row r="223" spans="10:21" ht="15.75" customHeight="1">
      <c r="J223" s="10"/>
      <c r="M223" s="13"/>
      <c r="N223" s="13"/>
      <c r="O223" s="13"/>
      <c r="R223" s="16"/>
      <c r="S223" s="16"/>
      <c r="T223" s="16"/>
      <c r="U223" s="16"/>
    </row>
    <row r="224" spans="10:21" ht="15.75" customHeight="1">
      <c r="J224" s="10"/>
      <c r="M224" s="13"/>
      <c r="N224" s="13"/>
      <c r="O224" s="13"/>
      <c r="R224" s="14"/>
      <c r="S224" s="14"/>
      <c r="T224" s="14"/>
      <c r="U224" s="14"/>
    </row>
    <row r="225" spans="10:21" ht="15.75" customHeight="1">
      <c r="J225" s="10"/>
      <c r="M225" s="13"/>
      <c r="N225" s="13"/>
      <c r="O225" s="13"/>
      <c r="R225" s="16"/>
      <c r="S225" s="16"/>
      <c r="T225" s="16"/>
      <c r="U225" s="16"/>
    </row>
    <row r="226" spans="10:21" ht="15.75" customHeight="1">
      <c r="J226" s="10"/>
      <c r="M226" s="13"/>
      <c r="N226" s="13"/>
      <c r="O226" s="13"/>
      <c r="R226" s="14"/>
      <c r="S226" s="14"/>
      <c r="T226" s="14"/>
      <c r="U226" s="14"/>
    </row>
    <row r="227" spans="10:21" ht="15.75" customHeight="1">
      <c r="J227" s="10"/>
      <c r="M227" s="13"/>
      <c r="N227" s="13"/>
      <c r="O227" s="13"/>
      <c r="R227" s="16"/>
      <c r="S227" s="16"/>
      <c r="T227" s="16"/>
      <c r="U227" s="16"/>
    </row>
    <row r="228" spans="10:21" ht="15.75" customHeight="1">
      <c r="J228" s="10"/>
      <c r="M228" s="13"/>
      <c r="N228" s="13"/>
      <c r="O228" s="13"/>
      <c r="R228" s="14"/>
      <c r="S228" s="14"/>
      <c r="T228" s="14"/>
      <c r="U228" s="14"/>
    </row>
    <row r="229" spans="10:21" ht="15.75" customHeight="1">
      <c r="J229" s="10"/>
      <c r="M229" s="13"/>
      <c r="N229" s="13"/>
      <c r="O229" s="13"/>
      <c r="R229" s="16"/>
      <c r="S229" s="16"/>
      <c r="T229" s="16"/>
      <c r="U229" s="16"/>
    </row>
    <row r="230" spans="10:21" ht="15.75" customHeight="1">
      <c r="J230" s="10"/>
      <c r="M230" s="13"/>
      <c r="N230" s="13"/>
      <c r="O230" s="13"/>
      <c r="R230" s="14"/>
      <c r="S230" s="14"/>
      <c r="T230" s="14"/>
      <c r="U230" s="14"/>
    </row>
    <row r="231" spans="10:21" ht="15.75" customHeight="1">
      <c r="J231" s="10"/>
      <c r="M231" s="13"/>
      <c r="N231" s="13"/>
      <c r="O231" s="13"/>
      <c r="R231" s="16"/>
      <c r="S231" s="16"/>
      <c r="T231" s="16"/>
      <c r="U231" s="16"/>
    </row>
    <row r="232" spans="10:21" ht="15.75" customHeight="1">
      <c r="J232" s="10"/>
      <c r="M232" s="13"/>
      <c r="N232" s="13"/>
      <c r="O232" s="13"/>
      <c r="R232" s="14"/>
      <c r="S232" s="14"/>
      <c r="T232" s="14"/>
      <c r="U232" s="14"/>
    </row>
    <row r="233" spans="10:21" ht="15.75" customHeight="1">
      <c r="J233" s="10"/>
      <c r="M233" s="13"/>
      <c r="N233" s="13"/>
      <c r="O233" s="13"/>
      <c r="R233" s="16"/>
      <c r="S233" s="16"/>
      <c r="T233" s="16"/>
      <c r="U233" s="16"/>
    </row>
    <row r="234" spans="10:21" ht="15.75" customHeight="1">
      <c r="J234" s="10"/>
      <c r="M234" s="13"/>
      <c r="N234" s="13"/>
      <c r="O234" s="13"/>
      <c r="R234" s="14"/>
      <c r="S234" s="14"/>
      <c r="T234" s="14"/>
      <c r="U234" s="14"/>
    </row>
    <row r="235" spans="10:21" ht="15.75" customHeight="1">
      <c r="J235" s="10"/>
      <c r="M235" s="13"/>
      <c r="N235" s="13"/>
      <c r="O235" s="13"/>
      <c r="R235" s="16"/>
      <c r="S235" s="16"/>
      <c r="T235" s="16"/>
      <c r="U235" s="16"/>
    </row>
    <row r="236" spans="10:21" ht="15.75" customHeight="1">
      <c r="J236" s="10"/>
      <c r="M236" s="13"/>
      <c r="N236" s="13"/>
      <c r="O236" s="13"/>
      <c r="R236" s="14"/>
      <c r="S236" s="14"/>
      <c r="T236" s="14"/>
      <c r="U236" s="14"/>
    </row>
    <row r="237" spans="10:21" ht="15.75" customHeight="1">
      <c r="J237" s="10"/>
      <c r="M237" s="13"/>
      <c r="N237" s="13"/>
      <c r="O237" s="13"/>
      <c r="R237" s="16"/>
      <c r="S237" s="16"/>
      <c r="T237" s="16"/>
      <c r="U237" s="16"/>
    </row>
    <row r="238" spans="10:21" ht="15.75" customHeight="1">
      <c r="J238" s="10"/>
      <c r="M238" s="13"/>
      <c r="N238" s="13"/>
      <c r="O238" s="13"/>
      <c r="R238" s="14"/>
      <c r="S238" s="14"/>
      <c r="T238" s="14"/>
      <c r="U238" s="14"/>
    </row>
    <row r="239" spans="10:21" ht="15.75" customHeight="1">
      <c r="J239" s="10"/>
      <c r="M239" s="13"/>
      <c r="N239" s="13"/>
      <c r="O239" s="13"/>
      <c r="R239" s="16"/>
      <c r="S239" s="16"/>
      <c r="T239" s="16"/>
      <c r="U239" s="16"/>
    </row>
    <row r="240" spans="10:21" ht="15.75" customHeight="1">
      <c r="J240" s="10"/>
      <c r="M240" s="13"/>
      <c r="N240" s="13"/>
      <c r="O240" s="13"/>
      <c r="R240" s="14"/>
      <c r="S240" s="14"/>
      <c r="T240" s="14"/>
      <c r="U240" s="14"/>
    </row>
    <row r="241" spans="10:21" ht="15.75" customHeight="1">
      <c r="J241" s="10"/>
      <c r="M241" s="13"/>
      <c r="N241" s="13"/>
      <c r="O241" s="13"/>
      <c r="R241" s="16"/>
      <c r="S241" s="16"/>
      <c r="T241" s="16"/>
      <c r="U241" s="16"/>
    </row>
    <row r="242" spans="10:21" ht="15.75" customHeight="1">
      <c r="J242" s="10"/>
      <c r="M242" s="13"/>
      <c r="N242" s="13"/>
      <c r="O242" s="13"/>
      <c r="R242" s="14"/>
      <c r="S242" s="14"/>
      <c r="T242" s="14"/>
      <c r="U242" s="14"/>
    </row>
    <row r="243" spans="10:21" ht="15.75" customHeight="1">
      <c r="J243" s="10"/>
      <c r="M243" s="13"/>
      <c r="N243" s="13"/>
      <c r="O243" s="13"/>
      <c r="R243" s="16"/>
      <c r="S243" s="16"/>
      <c r="T243" s="16"/>
      <c r="U243" s="16"/>
    </row>
    <row r="244" spans="10:21" ht="15.75" customHeight="1">
      <c r="J244" s="10"/>
      <c r="M244" s="13"/>
      <c r="N244" s="13"/>
      <c r="O244" s="13"/>
      <c r="R244" s="14"/>
      <c r="S244" s="14"/>
      <c r="T244" s="14"/>
      <c r="U244" s="14"/>
    </row>
    <row r="245" spans="10:21" ht="15.75" customHeight="1">
      <c r="J245" s="10"/>
      <c r="M245" s="13"/>
      <c r="N245" s="13"/>
      <c r="O245" s="13"/>
      <c r="R245" s="16"/>
      <c r="S245" s="16"/>
      <c r="T245" s="16"/>
      <c r="U245" s="16"/>
    </row>
    <row r="246" spans="10:21" ht="15.75" customHeight="1">
      <c r="J246" s="10"/>
      <c r="M246" s="13"/>
      <c r="N246" s="13"/>
      <c r="O246" s="13"/>
      <c r="R246" s="14"/>
      <c r="S246" s="14"/>
      <c r="T246" s="14"/>
      <c r="U246" s="14"/>
    </row>
    <row r="247" spans="10:21" ht="15.75" customHeight="1">
      <c r="J247" s="10"/>
      <c r="M247" s="13"/>
      <c r="N247" s="13"/>
      <c r="O247" s="13"/>
      <c r="R247" s="16"/>
      <c r="S247" s="16"/>
      <c r="T247" s="16"/>
      <c r="U247" s="16"/>
    </row>
    <row r="248" spans="10:21" ht="15.75" customHeight="1">
      <c r="J248" s="10"/>
      <c r="M248" s="13"/>
      <c r="N248" s="13"/>
      <c r="O248" s="13"/>
      <c r="R248" s="14"/>
      <c r="S248" s="14"/>
      <c r="T248" s="14"/>
      <c r="U248" s="14"/>
    </row>
    <row r="249" spans="10:21" ht="15.75" customHeight="1">
      <c r="J249" s="10"/>
      <c r="M249" s="13"/>
      <c r="N249" s="13"/>
      <c r="O249" s="13"/>
      <c r="R249" s="16"/>
      <c r="S249" s="16"/>
      <c r="T249" s="16"/>
      <c r="U249" s="16"/>
    </row>
    <row r="250" spans="10:21" ht="15.75" customHeight="1">
      <c r="J250" s="10"/>
      <c r="M250" s="13"/>
      <c r="N250" s="13"/>
      <c r="O250" s="13"/>
      <c r="R250" s="14"/>
      <c r="S250" s="14"/>
      <c r="T250" s="14"/>
      <c r="U250" s="14"/>
    </row>
    <row r="251" spans="10:21" ht="15.75" customHeight="1">
      <c r="J251" s="10"/>
      <c r="M251" s="13"/>
      <c r="N251" s="13"/>
      <c r="O251" s="13"/>
      <c r="R251" s="16"/>
      <c r="S251" s="16"/>
      <c r="T251" s="16"/>
      <c r="U251" s="16"/>
    </row>
    <row r="252" spans="10:21" ht="15.75" customHeight="1">
      <c r="J252" s="10"/>
      <c r="M252" s="13"/>
      <c r="N252" s="13"/>
      <c r="O252" s="13"/>
      <c r="R252" s="14"/>
      <c r="S252" s="14"/>
      <c r="T252" s="14"/>
      <c r="U252" s="14"/>
    </row>
    <row r="253" spans="10:21" ht="15.75" customHeight="1">
      <c r="J253" s="10"/>
      <c r="M253" s="13"/>
      <c r="N253" s="13"/>
      <c r="O253" s="13"/>
      <c r="R253" s="16"/>
      <c r="S253" s="16"/>
      <c r="T253" s="16"/>
      <c r="U253" s="16"/>
    </row>
    <row r="254" spans="10:21" ht="15.75" customHeight="1">
      <c r="J254" s="10"/>
      <c r="M254" s="13"/>
      <c r="N254" s="13"/>
      <c r="O254" s="13"/>
      <c r="R254" s="14"/>
      <c r="S254" s="14"/>
      <c r="T254" s="14"/>
      <c r="U254" s="14"/>
    </row>
    <row r="255" spans="10:21" ht="15.75" customHeight="1">
      <c r="J255" s="10"/>
      <c r="M255" s="13"/>
      <c r="N255" s="13"/>
      <c r="O255" s="13"/>
      <c r="R255" s="16"/>
      <c r="S255" s="16"/>
      <c r="T255" s="16"/>
      <c r="U255" s="16"/>
    </row>
    <row r="256" spans="10:21" ht="15.75" customHeight="1">
      <c r="J256" s="10"/>
      <c r="M256" s="13"/>
      <c r="N256" s="13"/>
      <c r="O256" s="13"/>
      <c r="R256" s="14"/>
      <c r="S256" s="14"/>
      <c r="T256" s="14"/>
      <c r="U256" s="14"/>
    </row>
    <row r="257" spans="10:21" ht="15.75" customHeight="1">
      <c r="J257" s="10"/>
      <c r="M257" s="13"/>
      <c r="N257" s="13"/>
      <c r="O257" s="13"/>
      <c r="R257" s="16"/>
      <c r="S257" s="16"/>
      <c r="T257" s="16"/>
      <c r="U257" s="16"/>
    </row>
    <row r="258" spans="10:21" ht="15.75" customHeight="1">
      <c r="J258" s="10"/>
      <c r="M258" s="13"/>
      <c r="N258" s="13"/>
      <c r="O258" s="13"/>
      <c r="R258" s="14"/>
      <c r="S258" s="14"/>
      <c r="T258" s="14"/>
      <c r="U258" s="14"/>
    </row>
    <row r="259" spans="10:21" ht="15.75" customHeight="1">
      <c r="J259" s="10"/>
      <c r="M259" s="13"/>
      <c r="N259" s="13"/>
      <c r="O259" s="13"/>
      <c r="R259" s="16"/>
      <c r="S259" s="16"/>
      <c r="T259" s="16"/>
      <c r="U259" s="16"/>
    </row>
    <row r="260" spans="10:21" ht="15.75" customHeight="1">
      <c r="J260" s="10"/>
      <c r="M260" s="13"/>
      <c r="N260" s="13"/>
      <c r="O260" s="13"/>
      <c r="R260" s="14"/>
      <c r="S260" s="14"/>
      <c r="T260" s="14"/>
      <c r="U260" s="14"/>
    </row>
    <row r="261" spans="10:21" ht="15.75" customHeight="1">
      <c r="J261" s="10"/>
      <c r="M261" s="13"/>
      <c r="N261" s="13"/>
      <c r="O261" s="13"/>
      <c r="R261" s="16"/>
      <c r="S261" s="16"/>
      <c r="T261" s="16"/>
      <c r="U261" s="16"/>
    </row>
    <row r="262" spans="10:21" ht="15.75" customHeight="1">
      <c r="J262" s="10"/>
      <c r="M262" s="13"/>
      <c r="N262" s="13"/>
      <c r="O262" s="13"/>
      <c r="R262" s="14"/>
      <c r="S262" s="14"/>
      <c r="T262" s="14"/>
      <c r="U262" s="14"/>
    </row>
    <row r="263" spans="10:21" ht="15.75" customHeight="1">
      <c r="J263" s="10"/>
      <c r="M263" s="13"/>
      <c r="N263" s="13"/>
      <c r="O263" s="13"/>
      <c r="R263" s="16"/>
      <c r="S263" s="16"/>
      <c r="T263" s="16"/>
      <c r="U263" s="16"/>
    </row>
    <row r="264" spans="10:21" ht="15.75" customHeight="1">
      <c r="J264" s="10"/>
      <c r="M264" s="13"/>
      <c r="N264" s="13"/>
      <c r="O264" s="13"/>
      <c r="R264" s="14"/>
      <c r="S264" s="14"/>
      <c r="T264" s="14"/>
      <c r="U264" s="14"/>
    </row>
    <row r="265" spans="10:21" ht="15.75" customHeight="1">
      <c r="J265" s="10"/>
      <c r="M265" s="13"/>
      <c r="N265" s="13"/>
      <c r="O265" s="13"/>
      <c r="R265" s="16"/>
      <c r="S265" s="16"/>
      <c r="T265" s="16"/>
      <c r="U265" s="16"/>
    </row>
    <row r="266" spans="10:21" ht="15.75" customHeight="1">
      <c r="J266" s="10"/>
      <c r="M266" s="13"/>
      <c r="N266" s="13"/>
      <c r="O266" s="13"/>
      <c r="R266" s="14"/>
      <c r="S266" s="14"/>
      <c r="T266" s="14"/>
      <c r="U266" s="14"/>
    </row>
    <row r="267" spans="10:21" ht="15.75" customHeight="1">
      <c r="J267" s="10"/>
      <c r="M267" s="13"/>
      <c r="N267" s="13"/>
      <c r="O267" s="13"/>
      <c r="R267" s="16"/>
      <c r="S267" s="16"/>
      <c r="T267" s="16"/>
      <c r="U267" s="16"/>
    </row>
    <row r="268" spans="10:21" ht="15.75" customHeight="1">
      <c r="J268" s="10"/>
      <c r="M268" s="13"/>
      <c r="N268" s="13"/>
      <c r="O268" s="13"/>
      <c r="R268" s="14"/>
      <c r="S268" s="14"/>
      <c r="T268" s="14"/>
      <c r="U268" s="14"/>
    </row>
    <row r="269" spans="10:21" ht="15.75" customHeight="1">
      <c r="J269" s="10"/>
      <c r="M269" s="13"/>
      <c r="N269" s="13"/>
      <c r="O269" s="13"/>
      <c r="R269" s="16"/>
      <c r="S269" s="16"/>
      <c r="T269" s="16"/>
      <c r="U269" s="16"/>
    </row>
    <row r="270" spans="10:21" ht="15.75" customHeight="1">
      <c r="J270" s="10"/>
      <c r="M270" s="13"/>
      <c r="N270" s="13"/>
      <c r="O270" s="13"/>
      <c r="R270" s="14"/>
      <c r="S270" s="14"/>
      <c r="T270" s="14"/>
      <c r="U270" s="14"/>
    </row>
    <row r="271" spans="10:21" ht="15.75" customHeight="1">
      <c r="J271" s="10"/>
      <c r="M271" s="13"/>
      <c r="N271" s="13"/>
      <c r="O271" s="13"/>
      <c r="R271" s="16"/>
      <c r="S271" s="16"/>
      <c r="T271" s="16"/>
      <c r="U271" s="16"/>
    </row>
    <row r="272" spans="10:21" ht="15.75" customHeight="1">
      <c r="J272" s="10"/>
      <c r="M272" s="13"/>
      <c r="N272" s="13"/>
      <c r="O272" s="13"/>
      <c r="R272" s="14"/>
      <c r="S272" s="14"/>
      <c r="T272" s="14"/>
      <c r="U272" s="14"/>
    </row>
    <row r="273" spans="10:21" ht="15.75" customHeight="1">
      <c r="J273" s="10"/>
      <c r="M273" s="13"/>
      <c r="N273" s="13"/>
      <c r="O273" s="13"/>
      <c r="R273" s="16"/>
      <c r="S273" s="16"/>
      <c r="T273" s="16"/>
      <c r="U273" s="16"/>
    </row>
    <row r="274" spans="10:21" ht="15.75" customHeight="1">
      <c r="J274" s="10"/>
      <c r="M274" s="13"/>
      <c r="N274" s="13"/>
      <c r="O274" s="13"/>
      <c r="R274" s="14"/>
      <c r="S274" s="14"/>
      <c r="T274" s="14"/>
      <c r="U274" s="14"/>
    </row>
    <row r="275" spans="10:21" ht="15.75" customHeight="1">
      <c r="J275" s="10"/>
      <c r="M275" s="13"/>
      <c r="N275" s="13"/>
      <c r="O275" s="13"/>
      <c r="R275" s="16"/>
      <c r="S275" s="16"/>
      <c r="T275" s="16"/>
      <c r="U275" s="16"/>
    </row>
    <row r="276" spans="10:21" ht="15.75" customHeight="1">
      <c r="J276" s="10"/>
      <c r="M276" s="13"/>
      <c r="N276" s="13"/>
      <c r="O276" s="13"/>
      <c r="R276" s="14"/>
      <c r="S276" s="14"/>
      <c r="T276" s="14"/>
      <c r="U276" s="14"/>
    </row>
    <row r="277" spans="10:21" ht="15.75" customHeight="1">
      <c r="J277" s="10"/>
      <c r="M277" s="13"/>
      <c r="N277" s="13"/>
      <c r="O277" s="13"/>
      <c r="R277" s="16"/>
      <c r="S277" s="16"/>
      <c r="T277" s="16"/>
      <c r="U277" s="16"/>
    </row>
    <row r="278" spans="10:21" ht="15.75" customHeight="1">
      <c r="J278" s="10"/>
      <c r="M278" s="13"/>
      <c r="N278" s="13"/>
      <c r="O278" s="13"/>
      <c r="R278" s="14"/>
      <c r="S278" s="14"/>
      <c r="T278" s="14"/>
      <c r="U278" s="14"/>
    </row>
    <row r="279" spans="10:21" ht="15.75" customHeight="1">
      <c r="J279" s="10"/>
      <c r="M279" s="13"/>
      <c r="N279" s="13"/>
      <c r="O279" s="13"/>
      <c r="R279" s="16"/>
      <c r="S279" s="16"/>
      <c r="T279" s="16"/>
      <c r="U279" s="16"/>
    </row>
    <row r="280" spans="10:21" ht="15.75" customHeight="1">
      <c r="J280" s="10"/>
      <c r="M280" s="13"/>
      <c r="N280" s="13"/>
      <c r="O280" s="13"/>
      <c r="R280" s="14"/>
      <c r="S280" s="14"/>
      <c r="T280" s="14"/>
      <c r="U280" s="14"/>
    </row>
    <row r="281" spans="10:21" ht="15.75" customHeight="1">
      <c r="J281" s="10"/>
      <c r="M281" s="13"/>
      <c r="N281" s="13"/>
      <c r="O281" s="13"/>
      <c r="R281" s="16"/>
      <c r="S281" s="16"/>
      <c r="T281" s="16"/>
      <c r="U281" s="16"/>
    </row>
    <row r="282" spans="10:21" ht="15.75" customHeight="1">
      <c r="J282" s="10"/>
      <c r="M282" s="13"/>
      <c r="N282" s="13"/>
      <c r="O282" s="13"/>
      <c r="R282" s="14"/>
      <c r="S282" s="14"/>
      <c r="T282" s="14"/>
      <c r="U282" s="14"/>
    </row>
    <row r="283" spans="10:21" ht="15.75" customHeight="1">
      <c r="J283" s="10"/>
      <c r="M283" s="13"/>
      <c r="N283" s="13"/>
      <c r="O283" s="13"/>
      <c r="R283" s="16"/>
      <c r="S283" s="16"/>
      <c r="T283" s="16"/>
      <c r="U283" s="16"/>
    </row>
    <row r="284" spans="10:21" ht="15.75" customHeight="1">
      <c r="J284" s="10"/>
      <c r="M284" s="13"/>
      <c r="N284" s="13"/>
      <c r="O284" s="13"/>
      <c r="R284" s="14"/>
      <c r="S284" s="14"/>
      <c r="T284" s="14"/>
      <c r="U284" s="14"/>
    </row>
    <row r="285" spans="10:21" ht="15.75" customHeight="1">
      <c r="J285" s="10"/>
      <c r="M285" s="13"/>
      <c r="N285" s="13"/>
      <c r="O285" s="13"/>
      <c r="R285" s="16"/>
      <c r="S285" s="16"/>
      <c r="T285" s="16"/>
      <c r="U285" s="16"/>
    </row>
    <row r="286" spans="10:21" ht="15.75" customHeight="1">
      <c r="J286" s="10"/>
      <c r="M286" s="13"/>
      <c r="N286" s="13"/>
      <c r="O286" s="13"/>
      <c r="R286" s="14"/>
      <c r="S286" s="14"/>
      <c r="T286" s="14"/>
      <c r="U286" s="14"/>
    </row>
    <row r="287" spans="10:21" ht="15.75" customHeight="1">
      <c r="J287" s="10"/>
      <c r="M287" s="13"/>
      <c r="N287" s="13"/>
      <c r="O287" s="13"/>
      <c r="R287" s="16"/>
      <c r="S287" s="16"/>
      <c r="T287" s="16"/>
      <c r="U287" s="16"/>
    </row>
    <row r="288" spans="10:21" ht="15.75" customHeight="1">
      <c r="J288" s="10"/>
      <c r="M288" s="13"/>
      <c r="N288" s="13"/>
      <c r="O288" s="13"/>
      <c r="R288" s="14"/>
      <c r="S288" s="14"/>
      <c r="T288" s="14"/>
      <c r="U288" s="14"/>
    </row>
    <row r="289" spans="10:21" ht="15.75" customHeight="1">
      <c r="J289" s="10"/>
      <c r="M289" s="13"/>
      <c r="N289" s="13"/>
      <c r="O289" s="13"/>
      <c r="R289" s="16"/>
      <c r="S289" s="16"/>
      <c r="T289" s="16"/>
      <c r="U289" s="16"/>
    </row>
    <row r="290" spans="10:21" ht="15.75" customHeight="1">
      <c r="J290" s="10"/>
      <c r="M290" s="13"/>
      <c r="N290" s="13"/>
      <c r="O290" s="13"/>
      <c r="R290" s="14"/>
      <c r="S290" s="14"/>
      <c r="T290" s="14"/>
      <c r="U290" s="14"/>
    </row>
    <row r="291" spans="10:21" ht="15.75" customHeight="1">
      <c r="J291" s="10"/>
      <c r="M291" s="13"/>
      <c r="N291" s="13"/>
      <c r="O291" s="13"/>
      <c r="R291" s="16"/>
      <c r="S291" s="16"/>
      <c r="T291" s="16"/>
      <c r="U291" s="16"/>
    </row>
    <row r="292" spans="10:21" ht="15.75" customHeight="1">
      <c r="J292" s="10"/>
      <c r="M292" s="13"/>
      <c r="N292" s="13"/>
      <c r="O292" s="13"/>
      <c r="R292" s="14"/>
      <c r="S292" s="14"/>
      <c r="T292" s="14"/>
      <c r="U292" s="14"/>
    </row>
    <row r="293" spans="10:21" ht="15.75" customHeight="1">
      <c r="J293" s="10"/>
      <c r="M293" s="13"/>
      <c r="N293" s="13"/>
      <c r="O293" s="13"/>
      <c r="R293" s="16"/>
      <c r="S293" s="16"/>
      <c r="T293" s="16"/>
      <c r="U293" s="16"/>
    </row>
    <row r="294" spans="10:21" ht="15.75" customHeight="1">
      <c r="J294" s="10"/>
      <c r="M294" s="13"/>
      <c r="N294" s="13"/>
      <c r="O294" s="13"/>
      <c r="R294" s="14"/>
      <c r="S294" s="14"/>
      <c r="T294" s="14"/>
      <c r="U294" s="14"/>
    </row>
    <row r="295" spans="10:21" ht="15.75" customHeight="1">
      <c r="J295" s="10"/>
      <c r="M295" s="13"/>
      <c r="N295" s="13"/>
      <c r="O295" s="13"/>
      <c r="R295" s="16"/>
      <c r="S295" s="16"/>
      <c r="T295" s="16"/>
      <c r="U295" s="16"/>
    </row>
    <row r="296" spans="10:21" ht="15.75" customHeight="1">
      <c r="J296" s="10"/>
      <c r="M296" s="13"/>
      <c r="N296" s="13"/>
      <c r="O296" s="13"/>
      <c r="R296" s="14"/>
      <c r="S296" s="14"/>
      <c r="T296" s="14"/>
      <c r="U296" s="14"/>
    </row>
    <row r="297" spans="10:21" ht="15.75" customHeight="1">
      <c r="J297" s="10"/>
      <c r="M297" s="13"/>
      <c r="N297" s="13"/>
      <c r="O297" s="13"/>
      <c r="R297" s="16"/>
      <c r="S297" s="16"/>
      <c r="T297" s="16"/>
      <c r="U297" s="16"/>
    </row>
    <row r="298" spans="10:21" ht="15.75" customHeight="1">
      <c r="J298" s="10"/>
      <c r="M298" s="13"/>
      <c r="N298" s="13"/>
      <c r="O298" s="13"/>
      <c r="R298" s="14"/>
      <c r="S298" s="14"/>
      <c r="T298" s="14"/>
      <c r="U298" s="14"/>
    </row>
    <row r="299" spans="10:21" ht="15.75" customHeight="1">
      <c r="J299" s="10"/>
      <c r="M299" s="13"/>
      <c r="N299" s="13"/>
      <c r="O299" s="13"/>
      <c r="R299" s="16"/>
      <c r="S299" s="16"/>
      <c r="T299" s="16"/>
      <c r="U299" s="16"/>
    </row>
    <row r="300" spans="10:21" ht="15.75" customHeight="1">
      <c r="J300" s="10"/>
      <c r="M300" s="13"/>
      <c r="N300" s="13"/>
      <c r="O300" s="13"/>
      <c r="R300" s="14"/>
      <c r="S300" s="14"/>
      <c r="T300" s="14"/>
      <c r="U300" s="14"/>
    </row>
    <row r="301" spans="10:21" ht="15.75" customHeight="1">
      <c r="J301" s="10"/>
      <c r="M301" s="13"/>
      <c r="N301" s="13"/>
      <c r="O301" s="13"/>
      <c r="R301" s="16"/>
      <c r="S301" s="16"/>
      <c r="T301" s="16"/>
      <c r="U301" s="16"/>
    </row>
    <row r="302" spans="10:21" ht="15.75" customHeight="1">
      <c r="J302" s="10"/>
      <c r="M302" s="13"/>
      <c r="N302" s="13"/>
      <c r="O302" s="13"/>
      <c r="R302" s="14"/>
      <c r="S302" s="14"/>
      <c r="T302" s="14"/>
      <c r="U302" s="14"/>
    </row>
    <row r="303" spans="10:21" ht="15.75" customHeight="1">
      <c r="J303" s="10"/>
      <c r="M303" s="13"/>
      <c r="N303" s="13"/>
      <c r="O303" s="13"/>
      <c r="R303" s="16"/>
      <c r="S303" s="16"/>
      <c r="T303" s="16"/>
      <c r="U303" s="16"/>
    </row>
    <row r="304" spans="10:21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S101"/>
  <conditionalFormatting sqref="R2:R1000">
    <cfRule type="expression" dxfId="0" priority="1">
      <formula>R2=TRUE</formula>
    </cfRule>
  </conditionalFormatting>
  <dataValidations count="5">
    <dataValidation type="list" allowBlank="1" showErrorMessage="1" sqref="K2:K25">
      <formula1>"Presencial,Online,Invitado Presencial,Presencial + coctel,Presencial IFE 50%"</formula1>
    </dataValidation>
    <dataValidation type="list" allowBlank="1" showErrorMessage="1" sqref="P2:P45 P47:P57 P59 P68:P101">
      <formula1>"SI,NO"</formula1>
    </dataValidation>
    <dataValidation type="list" allowBlank="1" showErrorMessage="1" sqref="K26">
      <formula1>"Presencial,Online,Invitado Presencial"</formula1>
    </dataValidation>
    <dataValidation type="list" allowBlank="1" showErrorMessage="1" sqref="G2:G101">
      <formula1>"Concertada,Pública,Privada,Privat - Concertat"</formula1>
    </dataValidation>
    <dataValidation type="list" allowBlank="1" showErrorMessage="1" sqref="Q2:Q45 Q47:Q57 Q59 Q68:Q101">
      <formula1>"TRANSFERENCIA,TARJETA,BIZUM"</formula1>
    </dataValidation>
  </dataValidations>
  <hyperlinks>
    <hyperlink ref="R1" r:id="rId1"/>
    <hyperlink ref="S1" r:id="rId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INSCRIPCIONS_PAGAMENTS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XaviLara</cp:lastModifiedBy>
  <dcterms:modified xsi:type="dcterms:W3CDTF">2025-12-24T19:50:43Z</dcterms:modified>
</cp:coreProperties>
</file>